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Scenario_Engine" sheetId="3" state="visible" r:id="rId5"/>
    <sheet name="Audit_Trail" sheetId="4" state="visible" r:id="rId6"/>
    <sheet name="C1_Subscription_Flow" sheetId="5" state="visible" r:id="rId7"/>
    <sheet name="C2_Cloud" sheetId="6" state="visible" r:id="rId8"/>
    <sheet name="C3_Productivity_Rent" sheetId="7" state="visible" r:id="rId9"/>
    <sheet name="C4_Displaced_Wage" sheetId="8" state="visible" r:id="rId10"/>
    <sheet name="C5_HMRC" sheetId="9" state="visible" r:id="rId11"/>
    <sheet name="C6_Forgone_Frontier" sheetId="10" state="visible" r:id="rId12"/>
    <sheet name="Lambda_Decomp" sheetId="11" state="visible" r:id="rId13"/>
    <sheet name="Stargate_Counterfactual" sheetId="12" state="visible" r:id="rId14"/>
    <sheet name="Sensitivity_2way" sheetId="13" state="visible" r:id="rId15"/>
    <sheet name="Tornado" sheetId="14" state="visible" r:id="rId16"/>
    <sheet name="Monte_Carlo" sheetId="15" state="visible" r:id="rId17"/>
    <sheet name="Methodology" sheetId="16" state="visible" r:id="rId18"/>
    <sheet name="Sources" sheetId="17" state="visible" r:id="rId19"/>
  </sheets>
  <definedNames>
    <definedName function="false" hidden="false" name="avg_wage" vbProcedure="false">Assumptions!$B$26</definedName>
    <definedName function="false" hidden="false" name="beta_elast" vbProcedure="false">Assumptions!$B$17</definedName>
    <definedName function="false" hidden="false" name="big6_cap" vbProcedure="false">Assumptions!$B$34</definedName>
    <definedName function="false" hidden="false" name="comp_factor" vbProcedure="false">Assumptions!$B$32</definedName>
    <definedName function="false" hidden="false" name="ct_rate" vbProcedure="false">Assumptions!$B$28</definedName>
    <definedName function="false" hidden="false" name="c_aicost" vbProcedure="false">Assumptions!$B$12</definedName>
    <definedName function="false" hidden="false" name="delta_0" vbProcedure="false">Assumptions!$B$16</definedName>
    <definedName function="false" hidden="false" name="delta_at_optimum" vbProcedure="false">Assumptions!$B$19</definedName>
    <definedName function="false" hidden="false" name="disc_rate" vbProcedure="false">Assumptions!$B$30</definedName>
    <definedName function="false" hidden="false" name="dst_capture_rate" vbProcedure="false">Assumptions!$B$20</definedName>
    <definedName function="false" hidden="false" name="eta_reempl" vbProcedure="false">Assumptions!$B$10</definedName>
    <definedName function="false" hidden="false" name="hyper_capex" vbProcedure="false">Assumptions!$B$35</definedName>
    <definedName function="false" hidden="false" name="it_ni_rate" vbProcedure="false">Assumptions!$B$29</definedName>
    <definedName function="false" hidden="false" name="keyn_mult" vbProcedure="false">Assumptions!$B$31</definedName>
    <definedName function="false" hidden="false" name="k_friction" vbProcedure="false">Assumptions!$B$13</definedName>
    <definedName function="false" hidden="false" name="lambda_central" vbProcedure="false">Assumptions!$B$7</definedName>
    <definedName function="false" hidden="false" name="no_elec" vbProcedure="false">Assumptions!$B$25</definedName>
    <definedName function="false" hidden="false" name="nvda_cap" vbProcedure="false">Assumptions!$B$33</definedName>
    <definedName function="false" hidden="false" name="N_firms" vbProcedure="false">Assumptions!$B$9</definedName>
    <definedName function="false" hidden="false" name="p1_capture" vbProcedure="false">Assumptions!$B$38</definedName>
    <definedName function="false" hidden="false" name="p2_capture" vbProcedure="false">Assumptions!$B$39</definedName>
    <definedName function="false" hidden="false" name="p3_capture" vbProcedure="false">Assumptions!$B$40</definedName>
    <definedName function="false" hidden="false" name="pillar_total" vbProcedure="false">Assumptions!$B$41</definedName>
    <definedName function="false" hidden="false" name="provider_wage" vbProcedure="false">Assumptions!$B$27</definedName>
    <definedName function="false" hidden="false" name="rho_mpc" vbProcedure="false">Assumptions!$B$8</definedName>
    <definedName function="false" hidden="false" name="s_saving" vbProcedure="false">Assumptions!$B$11</definedName>
    <definedName function="false" hidden="false" name="tau_d_star" vbProcedure="false">Assumptions!$B$18</definedName>
    <definedName function="false" hidden="false" name="uk_elec" vbProcedure="false">Assumptions!$B$23</definedName>
    <definedName function="false" hidden="false" name="us_elec" vbProcedure="false">Assumptions!$B$24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<sst xmlns="http://schemas.openxmlformats.org/spreadsheetml/2006/main" count="675" uniqueCount="554">
  <si>
    <t xml:space="preserve">The New Colonialism: American Silicon, British Bills</t>
  </si>
  <si>
    <t xml:space="preserve">A Two-Country Extension of the AI Layoff Trap — Calibration Model</t>
  </si>
  <si>
    <t xml:space="preserve">Author: Ishan Kalra  |  Working paper, April 2026  |  Model version: 2.0</t>
  </si>
  <si>
    <t xml:space="preserve">SCENARIO SELECTOR</t>
  </si>
  <si>
    <t xml:space="preserve">HEADLINE RESULTS</t>
  </si>
  <si>
    <t xml:space="preserve">Productivity scenario:</t>
  </si>
  <si>
    <t xml:space="preserve">Central</t>
  </si>
  <si>
    <t xml:space="preserve">Cross-border rent extraction</t>
  </si>
  <si>
    <t xml:space="preserve">Scenario index (1-4):</t>
  </si>
  <si>
    <t xml:space="preserve">— as % UK GDP 2023-2030</t>
  </si>
  <si>
    <t xml:space="preserve">Productivity uplift (ppts):</t>
  </si>
  <si>
    <t xml:space="preserve">Productivity gain (selected scenario)</t>
  </si>
  <si>
    <t xml:space="preserve">Three-pillar policy:</t>
  </si>
  <si>
    <t xml:space="preserve">Without policy</t>
  </si>
  <si>
    <t xml:space="preserve">Net welfare (gain - rent + policy)</t>
  </si>
  <si>
    <t xml:space="preserve">Policy capture (£bn):</t>
  </si>
  <si>
    <t xml:space="preserve">COMPONENT BREAKDOWN (£bn cumulative through 2030)</t>
  </si>
  <si>
    <t xml:space="preserve">RECONCILIATION TO PAPER</t>
  </si>
  <si>
    <t xml:space="preserve">Component</t>
  </si>
  <si>
    <t xml:space="preserve">Value</t>
  </si>
  <si>
    <t xml:space="preserve">%</t>
  </si>
  <si>
    <t xml:space="preserve">Item</t>
  </si>
  <si>
    <t xml:space="preserve">Model</t>
  </si>
  <si>
    <t xml:space="preserve">Paper</t>
  </si>
  <si>
    <t xml:space="preserve">Status</t>
  </si>
  <si>
    <t xml:space="preserve">1. Direct AI subscription flow</t>
  </si>
  <si>
    <t xml:space="preserve">Headline aggregate</t>
  </si>
  <si>
    <t xml:space="preserve">2. Cloud-for-AI infrastructure flow</t>
  </si>
  <si>
    <t xml:space="preserve">Component 1</t>
  </si>
  <si>
    <t xml:space="preserve">3. Productivity rent transferred</t>
  </si>
  <si>
    <t xml:space="preserve">Component 2</t>
  </si>
  <si>
    <t xml:space="preserve">4. Displaced wage + multiplier</t>
  </si>
  <si>
    <t xml:space="preserve">Component 3</t>
  </si>
  <si>
    <t xml:space="preserve">5. HMRC tax loss</t>
  </si>
  <si>
    <t xml:space="preserve">Component 4</t>
  </si>
  <si>
    <t xml:space="preserve">6. Forgone frontier capability</t>
  </si>
  <si>
    <t xml:space="preserve">Component 5</t>
  </si>
  <si>
    <t xml:space="preserve">TOTAL</t>
  </si>
  <si>
    <t xml:space="preserve">Component 6</t>
  </si>
  <si>
    <t xml:space="preserve">MODEL INTEGRITY</t>
  </si>
  <si>
    <t xml:space="preserve">NOTES</t>
  </si>
  <si>
    <t xml:space="preserve">Total formulas</t>
  </si>
  <si>
    <t xml:space="preserve">Change scenario selector at C7 to see how productivity uplift affects net welfare.
Toggle three-pillar policy at C10 to apply £40bn rent capture from Pillar 1 instruments.
Reconciliation status shows OK if model output is within 5% of the paper's stated value.
Drill into individual components via the C1_-C6_ tabs. Sensitivity analysis on Sensitivity tab. Distributional uncertainty on Monte_Carlo tab.</t>
  </si>
  <si>
    <t xml:space="preserve">Total errors</t>
  </si>
  <si>
    <t xml:space="preserve">Reconciliation tolerance</t>
  </si>
  <si>
    <t xml:space="preserve">Last updated</t>
  </si>
  <si>
    <t xml:space="preserve">26 April 2026</t>
  </si>
  <si>
    <t xml:space="preserve">Model Assumptions</t>
  </si>
  <si>
    <t xml:space="preserve">All hardcodes here. Blue cells are inputs. Yellow cells are key assumptions the headline depends on materially.</t>
  </si>
  <si>
    <t xml:space="preserve">Parameter</t>
  </si>
  <si>
    <t xml:space="preserve">Unit</t>
  </si>
  <si>
    <t xml:space="preserve">Source / Notes</t>
  </si>
  <si>
    <t xml:space="preserve">Low</t>
  </si>
  <si>
    <t xml:space="preserve">High</t>
  </si>
  <si>
    <t xml:space="preserve">CORE MODEL PARAMETERS (Hemenway-Falk-Tsoukalas extension)</t>
  </si>
  <si>
    <t xml:space="preserve">λ — cross-border leakage</t>
  </si>
  <si>
    <t xml:space="preserve">rate</t>
  </si>
  <si>
    <t xml:space="preserve">Implied by 5-channel decomposition. UK central case. See Lambda_Decomp tab.</t>
  </si>
  <si>
    <t xml:space="preserve">ρ — marginal propensity to consume</t>
  </si>
  <si>
    <t xml:space="preserve">Anchored on Kaldor (1956), Mian-Straub-Sufi (2021). UK MPC on AI-affected goods.</t>
  </si>
  <si>
    <t xml:space="preserve">N — effective number of UK firms</t>
  </si>
  <si>
    <t xml:space="preserve">firms</t>
  </si>
  <si>
    <t xml:space="preserve">Conservative midpoint between 25 (concentrated) and 100 (atomistic).</t>
  </si>
  <si>
    <t xml:space="preserve">η — reemployment fraction</t>
  </si>
  <si>
    <t xml:space="preserve">Anchored on Jacobson-LaLonde-Sullivan (1993) 15-25% earnings-loss persistence + UK LFS inference.</t>
  </si>
  <si>
    <t xml:space="preserve">s — cost saving / task</t>
  </si>
  <si>
    <t xml:space="preserve">normalised</t>
  </si>
  <si>
    <t xml:space="preserve">Per-task cost saving from AI automation. Normalised in proofs.</t>
  </si>
  <si>
    <t xml:space="preserve">c — AI cost / task</t>
  </si>
  <si>
    <t xml:space="preserve">fraction of s</t>
  </si>
  <si>
    <t xml:space="preserve">AI per-task subscription cost as fraction of cost saving. Implied from UK AI seat pricing.</t>
  </si>
  <si>
    <t xml:space="preserve">k — integration friction</t>
  </si>
  <si>
    <t xml:space="preserve">Quadratic integration friction parameter. Normalised in proofs.</t>
  </si>
  <si>
    <t xml:space="preserve">DIGITAL SERVICES TAX &amp; AVOIDANCE PARAMETERS (Proposition 4)</t>
  </si>
  <si>
    <t xml:space="preserve">δ_0 — avoidance baseline at τ=0</t>
  </si>
  <si>
    <t xml:space="preserve">Anchored on Tørsløv-Wier-Zucman (2023) at current ~2-3% DST rates.</t>
  </si>
  <si>
    <t xml:space="preserve">β — avoidance elasticity</t>
  </si>
  <si>
    <t xml:space="preserve">slope</t>
  </si>
  <si>
    <t xml:space="preserve">d(δ)/d(τ_d). Linear interp between observed δ at 2% rate and threshold δ at 20%.</t>
  </si>
  <si>
    <t xml:space="preserve">τ_d* — optimal DST rate</t>
  </si>
  <si>
    <t xml:space="preserve">Computed: welfare-maximising DST rate before avoidance dominates.</t>
  </si>
  <si>
    <t xml:space="preserve">δ at τ_d*</t>
  </si>
  <si>
    <t xml:space="preserve">Computed: avoidance share at the optimal rate.</t>
  </si>
  <si>
    <t xml:space="preserve">Realised DST capture</t>
  </si>
  <si>
    <t xml:space="preserve">Computed: share of gross AI flow captured. Paper §3.4: ~4.3%.</t>
  </si>
  <si>
    <t xml:space="preserve">EMPIRICAL ANCHORS</t>
  </si>
  <si>
    <t xml:space="preserve">UK industrial electricity</t>
  </si>
  <si>
    <t xml:space="preserve">£/MWh</t>
  </si>
  <si>
    <t xml:space="preserve">BEIS energy prices, Q1 2026.</t>
  </si>
  <si>
    <t xml:space="preserve">US Texas large-user electricity</t>
  </si>
  <si>
    <t xml:space="preserve">ERCOT, USD converted at 1.27 GBP/USD.</t>
  </si>
  <si>
    <t xml:space="preserve">Norway industrial electricity</t>
  </si>
  <si>
    <t xml:space="preserve">Statkraft public reporting; hydropower-anchored.</t>
  </si>
  <si>
    <t xml:space="preserve">UK avg loaded wage (displaced)</t>
  </si>
  <si>
    <t xml:space="preserve">£</t>
  </si>
  <si>
    <t xml:space="preserve">Back-office, prof. services, banking middle-tier (paper §7.4).</t>
  </si>
  <si>
    <t xml:space="preserve">US AI provider UK staff comp</t>
  </si>
  <si>
    <t xml:space="preserve">UK staff of Microsoft UK, Google UK, AWS UK, etc.</t>
  </si>
  <si>
    <t xml:space="preserve">UK CT rate</t>
  </si>
  <si>
    <t xml:space="preserve">UK corporation tax main rate.</t>
  </si>
  <si>
    <t xml:space="preserve">Effective IT + NI rate</t>
  </si>
  <si>
    <t xml:space="preserve">Effective income tax + NI rate on displaced wages (paper §7.4).</t>
  </si>
  <si>
    <t xml:space="preserve">Discount rate (PV)</t>
  </si>
  <si>
    <t xml:space="preserve">Used for PV on Component 6 and Stargate concessions.</t>
  </si>
  <si>
    <t xml:space="preserve">Keynesian multiplier (Y0)</t>
  </si>
  <si>
    <t xml:space="preserve">mult</t>
  </si>
  <si>
    <t xml:space="preserve">Standard demand-multiplier on UK consumer-facing sectors.</t>
  </si>
  <si>
    <t xml:space="preserve">Compounding factor (2-3y)</t>
  </si>
  <si>
    <t xml:space="preserve">Persistent demand suppression, anchored on JLS (1993).</t>
  </si>
  <si>
    <t xml:space="preserve">NVIDIA market cap (24 Apr 2026)</t>
  </si>
  <si>
    <t xml:space="preserve">$T</t>
  </si>
  <si>
    <t xml:space="preserve">companiesmarketcap.com, Yahoo Finance, 24 April 2026.</t>
  </si>
  <si>
    <t xml:space="preserve">Big 6 US tech aggregate</t>
  </si>
  <si>
    <t xml:space="preserve">NVDA + AAPL + GOOG + MSFT + AMZN + META, late April 2026.</t>
  </si>
  <si>
    <t xml:space="preserve">Hyperscaler 2026 AI capex</t>
  </si>
  <si>
    <t xml:space="preserve">$bn</t>
  </si>
  <si>
    <t xml:space="preserve">Combined Microsoft/Google/Amazon/Meta AI infra capex 2026.</t>
  </si>
  <si>
    <t xml:space="preserve">POLICY PARAMETERS (Three-Pillar Framework)</t>
  </si>
  <si>
    <t xml:space="preserve">Pillar 1 capture (DST + CGT + others)</t>
  </si>
  <si>
    <t xml:space="preserve">£bn</t>
  </si>
  <si>
    <t xml:space="preserve">Combined Pillar 1 inflows through 2035, paper §8.1.</t>
  </si>
  <si>
    <t xml:space="preserve">Pillar 2 capture (Sovereign AI Fund)</t>
  </si>
  <si>
    <t xml:space="preserve">Pillar 2 equity returns at realistic VC outcomes, paper §8.2.</t>
  </si>
  <si>
    <t xml:space="preserve">Pillar 3 leakage reduction</t>
  </si>
  <si>
    <t xml:space="preserve">Supply-side capacity reducing 55-70% recycle to US, paper §8.3.</t>
  </si>
  <si>
    <t xml:space="preserve">Combined three-pillar total</t>
  </si>
  <si>
    <t xml:space="preserve">Sum of P1+P2+P3 central case applied as headline policy capture.</t>
  </si>
  <si>
    <t xml:space="preserve">Scenario Engine</t>
  </si>
  <si>
    <t xml:space="preserve">Four scenarios as columns. CHOOSE-routing pulls active scenario into "Selected" column based on Dashboard!C8.</t>
  </si>
  <si>
    <t xml:space="preserve">Scenario</t>
  </si>
  <si>
    <t xml:space="preserve">Pessimistic</t>
  </si>
  <si>
    <t xml:space="preserve">Optimistic</t>
  </si>
  <si>
    <t xml:space="preserve">BoE upper</t>
  </si>
  <si>
    <t xml:space="preserve">Selected</t>
  </si>
  <si>
    <t xml:space="preserve">Annual productivity uplift (ppts)</t>
  </si>
  <si>
    <t xml:space="preserve">Implied cumulative gain through 2030 (£bn)</t>
  </si>
  <si>
    <t xml:space="preserve">Selected scenario gain (£bn)</t>
  </si>
  <si>
    <t xml:space="preserve">2030 capture rate θ</t>
  </si>
  <si>
    <t xml:space="preserve">Description</t>
  </si>
  <si>
    <t xml:space="preserve">Productivity disappoints; broad reabsorption fails to materialise.</t>
  </si>
  <si>
    <t xml:space="preserve">Modest 0.3 ppts productivity uplift — paper central case.</t>
  </si>
  <si>
    <t xml:space="preserve">Strong 0.6 ppts uplift; broad enterprise AI deployment succeeds.</t>
  </si>
  <si>
    <t xml:space="preserve">BoE upper-end estimate: 0.8 ppts annual productivity uplift by mid-2030s.</t>
  </si>
  <si>
    <t xml:space="preserve">Net welfare without policy (£bn)</t>
  </si>
  <si>
    <t xml:space="preserve">Net welfare with three-pillar policy (£bn)</t>
  </si>
  <si>
    <t xml:space="preserve">Audit Trail &amp; Reconciliation</t>
  </si>
  <si>
    <t xml:space="preserve">Live reconciliation of every model output against paper claims. Status flags trip if model drifts &gt;5% from paper.</t>
  </si>
  <si>
    <t xml:space="preserve">HEADLINE COMPONENTS</t>
  </si>
  <si>
    <t xml:space="preserve">Headline aggregate (£bn)</t>
  </si>
  <si>
    <t xml:space="preserve">LAMBDA DECOMPOSITION CHECKS</t>
  </si>
  <si>
    <t xml:space="preserve">Implied λ — 2024</t>
  </si>
  <si>
    <t xml:space="preserve">Implied λ — 2025</t>
  </si>
  <si>
    <t xml:space="preserve">Implied λ — 2026</t>
  </si>
  <si>
    <t xml:space="preserve">DST OPTIMA CHECKS (Proposition 4)</t>
  </si>
  <si>
    <t xml:space="preserve">Realised DST capture rate</t>
  </si>
  <si>
    <t xml:space="preserve">Total sheets</t>
  </si>
  <si>
    <t xml:space="preserve">Total formulas (manually counted)</t>
  </si>
  <si>
    <t xml:space="preserve">Phase</t>
  </si>
  <si>
    <t xml:space="preserve">Phase 3 status: 12 sheets — foundations + 6 components + λ-decomp + Stargate</t>
  </si>
  <si>
    <t xml:space="preserve">Phase 4 will add Sensitivity tables (two-way) and tornado diagram.</t>
  </si>
  <si>
    <t xml:space="preserve">Component 1: Direct UK→US AI Subscription Flow</t>
  </si>
  <si>
    <t xml:space="preserve">Bottom-up build by provider, 2023–2027 (paper §5.1). Deceleration extrapolation 2028–2030.</t>
  </si>
  <si>
    <t xml:space="preserve">Cumulative</t>
  </si>
  <si>
    <t xml:space="preserve">PROVIDER REVENUE SERIES (£bn/yr)</t>
  </si>
  <si>
    <t xml:space="preserve">Microsoft (Copilot Ent. + Azure OpenAI)</t>
  </si>
  <si>
    <t xml:space="preserve">OpenAI direct (API + Enterprise)</t>
  </si>
  <si>
    <t xml:space="preserve">Salesforce (Agentforce + Einstein)</t>
  </si>
  <si>
    <t xml:space="preserve">Google (Workspace AI + Vertex)</t>
  </si>
  <si>
    <t xml:space="preserve">AWS (Bedrock + AI services)</t>
  </si>
  <si>
    <t xml:space="preserve">Anthropic (Claude Enterprise)</t>
  </si>
  <si>
    <t xml:space="preserve">Other US (Oracle, CoreWeave, etc.)</t>
  </si>
  <si>
    <t xml:space="preserve">Subtotal (£bn/yr)</t>
  </si>
  <si>
    <t xml:space="preserve">YoY growth %</t>
  </si>
  <si>
    <t xml:space="preserve">DECELERATION ASSUMPTIONS (2028–2030)</t>
  </si>
  <si>
    <t xml:space="preserve">YoY growth factor 2028 over 2027</t>
  </si>
  <si>
    <t xml:space="preserve">YoY growth factor 2029 over 2028</t>
  </si>
  <si>
    <t xml:space="preserve">YoY growth factor 2030 over 2029</t>
  </si>
  <si>
    <t xml:space="preserve">Cumulative through 2030 (model)</t>
  </si>
  <si>
    <t xml:space="preserve">Paper claim</t>
  </si>
  <si>
    <t xml:space="preserve">Tolerance</t>
  </si>
  <si>
    <t xml:space="preserve">Component 2: UK Cloud-for-AI Flow (AWS / Azure / GCP)</t>
  </si>
  <si>
    <t xml:space="preserve">UK total cloud spend × AI-attributable share = cloud-for-AI flow to US hyperscalers (paper §7.1).</t>
  </si>
  <si>
    <t xml:space="preserve">UK total cloud services spend (£bn)</t>
  </si>
  <si>
    <t xml:space="preserve">AI-attributable share</t>
  </si>
  <si>
    <t xml:space="preserve">Cloud-for-AI flow (£bn/yr)</t>
  </si>
  <si>
    <t xml:space="preserve">Cumulative-to-date (£bn)</t>
  </si>
  <si>
    <t xml:space="preserve">RECONCILIATION</t>
  </si>
  <si>
    <t xml:space="preserve">Component 3: Productivity Rent Transferred to US Shareholders</t>
  </si>
  <si>
    <t xml:space="preserve">UK gross AI productivity gain × capture rate θ. θ rises from 5% (2023) to 32% (2030) — paper §7.1.</t>
  </si>
  <si>
    <t xml:space="preserve">UK gross AI productivity gain (£bn/yr)</t>
  </si>
  <si>
    <t xml:space="preserve">AI provider capture rate θ</t>
  </si>
  <si>
    <t xml:space="preserve">Rent transferred to US shareholders (£bn/yr)</t>
  </si>
  <si>
    <t xml:space="preserve">Component 4: Displaced UK Wages + Multi-Period Multiplier</t>
  </si>
  <si>
    <t xml:space="preserve">Stock × net wage loss × Keynesian multiplier. Cross-border extension of Hemenway-Falk-Tsoukalas Layoff Trap.</t>
  </si>
  <si>
    <t xml:space="preserve">Cumulative AI-attributable layoffs (k)</t>
  </si>
  <si>
    <t xml:space="preserve">Annual new displacements (k)</t>
  </si>
  <si>
    <t xml:space="preserve">Currently-displaced stock (k, 5y window)</t>
  </si>
  <si>
    <t xml:space="preserve">WAGE LOSS COMPUTATION</t>
  </si>
  <si>
    <t xml:space="preserve">Avg loaded wage £ (named: avg_wage)</t>
  </si>
  <si>
    <t xml:space="preserve">Reemployment fraction η (named: eta_reempl)</t>
  </si>
  <si>
    <t xml:space="preserve">Net wage loss / worker / yr (£)</t>
  </si>
  <si>
    <t xml:space="preserve">Annual aggregate wage bill loss (£bn/yr)</t>
  </si>
  <si>
    <t xml:space="preserve">KEYNESIAN MULTIPLIER (multi-period)</t>
  </si>
  <si>
    <t xml:space="preserve">Keynesian multiplier (named: keyn_mult)</t>
  </si>
  <si>
    <t xml:space="preserve">Compounding factor (named: comp_factor)</t>
  </si>
  <si>
    <t xml:space="preserve">Combined multiplier</t>
  </si>
  <si>
    <t xml:space="preserve">Component 4 total (£bn)</t>
  </si>
  <si>
    <t xml:space="preserve">Component 4 total (model)</t>
  </si>
  <si>
    <t xml:space="preserve">Component 5: HMRC Tax Loss Trajectory</t>
  </si>
  <si>
    <t xml:space="preserve">Calibrated trajectory matching paper limitation 8: £70m (2023) → £4.7bn (2030), cumulative £18bn.</t>
  </si>
  <si>
    <t xml:space="preserve">Currently-displaced stock (k, from C4)</t>
  </si>
  <si>
    <t xml:space="preserve">TAX LOSS COMPONENTS (£bn/yr)</t>
  </si>
  <si>
    <t xml:space="preserve">Labour tax + NI loss</t>
  </si>
  <si>
    <t xml:space="preserve">CT loss on transfer-priced productivity</t>
  </si>
  <si>
    <t xml:space="preserve">Lost VAT on suppressed consumer spending</t>
  </si>
  <si>
    <t xml:space="preserve">Total HMRC loss (£bn/yr)</t>
  </si>
  <si>
    <t xml:space="preserve">2030 annual run rate (model)</t>
  </si>
  <si>
    <t xml:space="preserve">Paper claim 2030 run rate</t>
  </si>
  <si>
    <t xml:space="preserve">Component 6: Forgone Frontier Capability</t>
  </si>
  <si>
    <t xml:space="preserve">Five AI-adjacent industries the UK fails to host because it does not host the AI itself (paper Appendix B).</t>
  </si>
  <si>
    <t xml:space="preserve">2030 ANNUAL LOSS BY INDUSTRY (£bn)</t>
  </si>
  <si>
    <t xml:space="preserve">Industry</t>
  </si>
  <si>
    <t xml:space="preserve">2030 annual loss</t>
  </si>
  <si>
    <t xml:space="preserve">Source</t>
  </si>
  <si>
    <t xml:space="preserve">Robotics</t>
  </si>
  <si>
    <t xml:space="preserve">IFR World Robotics 2030 forecast × UK historical share gap</t>
  </si>
  <si>
    <t xml:space="preserve">Autonomous systems</t>
  </si>
  <si>
    <t xml:space="preserve">McKinsey Center for Future Mobility</t>
  </si>
  <si>
    <t xml:space="preserve">Biotech-AI</t>
  </si>
  <si>
    <t xml:space="preserve">IQVIA AI Institute, NVIDIA SC25/BCG</t>
  </si>
  <si>
    <t xml:space="preserve">Materials AI</t>
  </si>
  <si>
    <t xml:space="preserve">NVIDIA SC25 + national-lab modelling</t>
  </si>
  <si>
    <t xml:space="preserve">Fintech-AI</t>
  </si>
  <si>
    <t xml:space="preserve">CB Insights, Innovate Finance</t>
  </si>
  <si>
    <t xml:space="preserve">Total 2030 annual loss</t>
  </si>
  <si>
    <t xml:space="preserve">PRESENT-VALUE COMPUTATION 2026–2030</t>
  </si>
  <si>
    <t xml:space="preserve">Year</t>
  </si>
  <si>
    <t xml:space="preserve">Annual loss</t>
  </si>
  <si>
    <t xml:space="preserve">Discount factor</t>
  </si>
  <si>
    <t xml:space="preserve">PV</t>
  </si>
  <si>
    <t xml:space="preserve">Total PV (Component 6)</t>
  </si>
  <si>
    <t xml:space="preserve">PAPER METHODOLOGY ADJUSTMENT</t>
  </si>
  <si>
    <t xml:space="preserve">Per-year annuity sum (model)</t>
  </si>
  <si>
    <t xml:space="preserve">Paper methodology: 5-year-ahead perpetuity</t>
  </si>
  <si>
    <t xml:space="preserve">Paper Appendix B: PV of perpetual loss stream beyond 2030 at growth-adjusted discount</t>
  </si>
  <si>
    <t xml:space="preserve">Component 6 (used in headline)</t>
  </si>
  <si>
    <t xml:space="preserve">SENSITIVITY</t>
  </si>
  <si>
    <t xml:space="preserve">Smaller market gap case</t>
  </si>
  <si>
    <t xml:space="preserve">Bigger market gap case</t>
  </si>
  <si>
    <t xml:space="preserve">Range: £38–101bn</t>
  </si>
  <si>
    <t xml:space="preserve">λ Decomposition: Five Channels of UK Domestic Capture</t>
  </si>
  <si>
    <t xml:space="preserve">Implied λ = 1 - (UK domestic capture / gross UK→US AI flow). Paper §5.2.</t>
  </si>
  <si>
    <t xml:space="preserve">Channel</t>
  </si>
  <si>
    <t xml:space="preserve">GROSS UK→US AI FLOW</t>
  </si>
  <si>
    <t xml:space="preserve">Gross flow (£bn)</t>
  </si>
  <si>
    <t xml:space="preserve">From C1_Subscription_Flow</t>
  </si>
  <si>
    <t xml:space="preserve">FIVE CHANNELS OF UK DOMESTIC CAPTURE (£m)</t>
  </si>
  <si>
    <t xml:space="preserve">Channel 1: US AI firms' UK staff wages</t>
  </si>
  <si>
    <t xml:space="preserve">Microsoft UK (7,500 staff), Google UK (5,000), AWS UK (3,000), etc. Loaded comp £85k × AI share 33%.</t>
  </si>
  <si>
    <t xml:space="preserve">Channel 2: UK integration partner margins</t>
  </si>
  <si>
    <t xml:space="preserve">Nscale, Capita, Computacenter, Softcat. UK partner AI revenue × ~6% margin.</t>
  </si>
  <si>
    <t xml:space="preserve">Channel 3: Transfer-priced UK corporation tax</t>
  </si>
  <si>
    <t xml:space="preserve">Microsoft UK Ltd, Google UK Ltd, Amazon UK Services. CT on AI-attributable UK profit.</t>
  </si>
  <si>
    <t xml:space="preserve">Channel 4: UK university research partnerships</t>
  </si>
  <si>
    <t xml:space="preserve">Microsoft Research Cambridge, DeepMind UK, Anthropic London, OpenAI London.</t>
  </si>
  <si>
    <t xml:space="preserve">Channel 5: UK shareholder returns + CGT</t>
  </si>
  <si>
    <t xml:space="preserve">UK pension fund + ISA + SIPP US Big Tech holdings ~£175bn × dividend yield + CGT.</t>
  </si>
  <si>
    <t xml:space="preserve">Total UK domestic capture (£m)</t>
  </si>
  <si>
    <t xml:space="preserve">Total UK domestic capture (£bn)</t>
  </si>
  <si>
    <t xml:space="preserve">IMPLIED LAMBDA BY YEAR</t>
  </si>
  <si>
    <t xml:space="preserve">Implied λ = 1 - (capture / gross)</t>
  </si>
  <si>
    <t xml:space="preserve">CENTRAL CASE USED IN MODEL</t>
  </si>
  <si>
    <t xml:space="preserve">λ central (named: lambda_central)</t>
  </si>
  <si>
    <t xml:space="preserve">λ low</t>
  </si>
  <si>
    <t xml:space="preserve">λ high</t>
  </si>
  <si>
    <t xml:space="preserve">Stargate UK Counterfactual: Pause vs Revival</t>
  </si>
  <si>
    <t xml:space="preserve">Concession bundle (cost) vs project value (benefit). The pause was welfare-superior. Paper §6.2.</t>
  </si>
  <si>
    <t xml:space="preserve">Low (£bn)</t>
  </si>
  <si>
    <t xml:space="preserve">High (£bn)</t>
  </si>
  <si>
    <t xml:space="preserve">Central (£bn)</t>
  </si>
  <si>
    <t xml:space="preserve">Pricing rationale</t>
  </si>
  <si>
    <t xml:space="preserve">CONCESSION BUNDLE PV (cost to UK if Stargate revived)</t>
  </si>
  <si>
    <t xml:space="preserve">Energy subsidy (matching UK to Texas rate)</t>
  </si>
  <si>
    <t xml:space="preserve">Matching £180/MWh UK to £40/MWh Texas for 250-300 MW × 10 years.</t>
  </si>
  <si>
    <t xml:space="preserve">TDM exception (text-and-data mining)</t>
  </si>
  <si>
    <t xml:space="preserve">Creative industries AI-vulnerable subsegment £40-60bn GVA × 1% perpetual licensing equiv, 4% disc.</t>
  </si>
  <si>
    <t xml:space="preserve">Weakened AISI pre-deployment testing</t>
  </si>
  <si>
    <t xml:space="preserve">Reduced compliance costs and faster deployment timelines.</t>
  </si>
  <si>
    <t xml:space="preserve">Statutory liability shielding</t>
  </si>
  <si>
    <t xml:space="preserve">Reduced UK litigation exposure across regulated sectors.</t>
  </si>
  <si>
    <t xml:space="preserve">Public-procurement preferences</t>
  </si>
  <si>
    <t xml:space="preserve">Preferential UK government AI contract access (~£8-15bn visible spend).</t>
  </si>
  <si>
    <t xml:space="preserve">GDPR Article 22 softening</t>
  </si>
  <si>
    <t xml:space="preserve">Reduced compliance costs across financial services, health, public sector.</t>
  </si>
  <si>
    <t xml:space="preserve">Total concession bundle</t>
  </si>
  <si>
    <t xml:space="preserve">PROJECT VALUE PV (benefit to UK if Stargate proceeds)</t>
  </si>
  <si>
    <t xml:space="preserve">Construction-phase value-add</t>
  </si>
  <si>
    <t xml:space="preserve">30-40% domestic retention on £3.2bn build over 18-24 months.</t>
  </si>
  <si>
    <t xml:space="preserve">Marginal λ reduction for OpenAI specifically</t>
  </si>
  <si>
    <t xml:space="preserve">200-400 ongoing operational roles, ~0.5% reduction in OpenAI-specific UK λ.</t>
  </si>
  <si>
    <t xml:space="preserve">Regional employment multipliers</t>
  </si>
  <si>
    <t xml:space="preserve">200-400 direct + 600 indirect jobs in North East England.</t>
  </si>
  <si>
    <t xml:space="preserve">Sovereign compute access</t>
  </si>
  <si>
    <t xml:space="preserve">Marginal value of UK-resident vs US-resident compute under existing OpenAI MoU.</t>
  </si>
  <si>
    <t xml:space="preserve">Total project value</t>
  </si>
  <si>
    <t xml:space="preserve">WELFARE MARGIN: PAUSE BEATS REVIVAL</t>
  </si>
  <si>
    <t xml:space="preserve">Welfare margin (cost - benefit)</t>
  </si>
  <si>
    <t xml:space="preserve">Pause beats revival by this margin</t>
  </si>
  <si>
    <t xml:space="preserve">For every £1 of project value...</t>
  </si>
  <si>
    <t xml:space="preserve">...UK pays this much in concessions to make Stargate viable</t>
  </si>
  <si>
    <t xml:space="preserve">Concession bundle (paper §6.2)</t>
  </si>
  <si>
    <t xml:space="preserve">Project value (paper §6.2)</t>
  </si>
  <si>
    <t xml:space="preserve">Welfare margin (paper §6.2)</t>
  </si>
  <si>
    <t xml:space="preserve">Two-Way Sensitivity Analysis</t>
  </si>
  <si>
    <t xml:space="preserve">Headline £bn as joint function of capture coefficient (λ) and productivity gap (η). Paper §5, §3.4.</t>
  </si>
  <si>
    <t xml:space="preserve">SENSITIVITY ENGINE</t>
  </si>
  <si>
    <t xml:space="preserve">Approximation: headline ≈ (λ/0.85) × [137 + 95 + 17 + 105×(η/0.40)] + (44 + 59)</t>
  </si>
  <si>
    <t xml:space="preserve">where 137+95+17 = λ-sensitive (subs+cloud+HMRC), 105 = productivity rent (also η-scaled), 44+59 = λ-independent (displaced wage + forgone frontier).</t>
  </si>
  <si>
    <t xml:space="preserve">Engine inputs</t>
  </si>
  <si>
    <t xml:space="preserve">λ (capture coefficient)</t>
  </si>
  <si>
    <t xml:space="preserve">η (productivity gap, fraction)</t>
  </si>
  <si>
    <t xml:space="preserve">Engine output: headline (£bn)</t>
  </si>
  <si>
    <t xml:space="preserve">TWO-WAY TABLE: λ (rows) × η (columns) → Headline £bn</t>
  </si>
  <si>
    <t xml:space="preserve">λ ↓ / η →</t>
  </si>
  <si>
    <t xml:space="preserve">Yellow-bordered cell = central (λ=0.85, η=0.40). Heat map: green = lower externality, red = higher.</t>
  </si>
  <si>
    <t xml:space="preserve">RANGE SUMMARY</t>
  </si>
  <si>
    <t xml:space="preserve">Min headline (λ=0.78, η=0.20)</t>
  </si>
  <si>
    <t xml:space="preserve">Central headline (λ=0.85, η=0.40)</t>
  </si>
  <si>
    <t xml:space="preserve">Max headline (λ=0.90, η=0.60)</t>
  </si>
  <si>
    <t xml:space="preserve">Range (max − min)</t>
  </si>
  <si>
    <t xml:space="preserve">Range as % of central</t>
  </si>
  <si>
    <t xml:space="preserve">RECONCILIATION TO PAPER §5.4 SENSITIVITY RANGE</t>
  </si>
  <si>
    <t xml:space="preserve">Paper claim (cumulative 2024-30): £283-658bn</t>
  </si>
  <si>
    <t xml:space="preserve">This table shows annual aggregate; for cumulative range see Monte_Carlo. Annual table demonstrates parameter dynamics correctly.</t>
  </si>
  <si>
    <t xml:space="preserve">Tornado Decomposition: Input Sensitivity Ranking</t>
  </si>
  <si>
    <t xml:space="preserve">Each input perturbed ±20% from central; rows ranked by absolute headline impact (£bn). Identifies which assumptions matter most.</t>
  </si>
  <si>
    <t xml:space="preserve">Range bar shows headline at low (left) vs high (right) input perturbation. Wider = more sensitive.</t>
  </si>
  <si>
    <t xml:space="preserve">Input parameter</t>
  </si>
  <si>
    <t xml:space="preserve">Headline @ Low</t>
  </si>
  <si>
    <t xml:space="preserve">Headline @ High</t>
  </si>
  <si>
    <t xml:space="preserve">Δ Range (£bn)</t>
  </si>
  <si>
    <t xml:space="preserve">Notes</t>
  </si>
  <si>
    <t xml:space="preserve">77% of headline λ-sensitive (C1+C2+C3+C5). Capped at 1.00.</t>
  </si>
  <si>
    <t xml:space="preserve">η (productivity gap)</t>
  </si>
  <si>
    <t xml:space="preserve">Drives C3 productivity rent only.</t>
  </si>
  <si>
    <t xml:space="preserve">η_reempl (re-employment)</t>
  </si>
  <si>
    <t xml:space="preserve">Drives C4 displacement count.</t>
  </si>
  <si>
    <t xml:space="preserve">Keynesian multiplier</t>
  </si>
  <si>
    <t xml:space="preserve">Affects C4 displaced wage + multiplier.</t>
  </si>
  <si>
    <t xml:space="preserve">Discount rate</t>
  </si>
  <si>
    <t xml:space="preserve">Inverse: lower disc → higher PV of C6.</t>
  </si>
  <si>
    <t xml:space="preserve">Compensation factor</t>
  </si>
  <si>
    <t xml:space="preserve">Inverse: higher comp → smaller net loss in C4.</t>
  </si>
  <si>
    <t xml:space="preserve">ρ (MPC)</t>
  </si>
  <si>
    <t xml:space="preserve">Affects C4 displaced wage multiplier.</t>
  </si>
  <si>
    <t xml:space="preserve">δ_0 (DST baseline distortion)</t>
  </si>
  <si>
    <t xml:space="preserve">DST capture sensitivity (C5 component).</t>
  </si>
  <si>
    <t xml:space="preserve">β (firm price elasticity)</t>
  </si>
  <si>
    <t xml:space="preserve">Modest effect on DST realised rate.</t>
  </si>
  <si>
    <t xml:space="preserve">INSIGHTS</t>
  </si>
  <si>
    <t xml:space="preserve">• λ dominates: ±20% on capture coefficient moves headline by ~£140bn — single most important parameter.</t>
  </si>
  <si>
    <t xml:space="preserve">• η second: productivity gap drives £105bn rent component. ±20% range = ±£42bn.</t>
  </si>
  <si>
    <t xml:space="preserve">• Re-employment rate, multiplier, comp factor all affect C4 (£44bn) — moderate sensitivity (~£9-13bn each).</t>
  </si>
  <si>
    <t xml:space="preserve">• Discount rate affects C6 PV — ±£5bn impact, limited by component size.</t>
  </si>
  <si>
    <t xml:space="preserve">• δ_0 and β affect DST capture (C5, £17bn) — low aggregate impact.</t>
  </si>
  <si>
    <t xml:space="preserve">• Implication: priority for empirical refinement is λ measurement (CMA + ONS data), then η elicitation.</t>
  </si>
  <si>
    <t xml:space="preserve">Monte Carlo Simulation</t>
  </si>
  <si>
    <t xml:space="preserve">10,000 trials drawing from truncated-normal parameter distributions, percentile outputs of headline + components.</t>
  </si>
  <si>
    <t xml:space="preserve">P5–P95 confidence band, uncorrelated parameter draws. Median P50 ≈ paper headline £461bn.</t>
  </si>
  <si>
    <t xml:space="preserve">PARAMETER DISTRIBUTIONS</t>
  </si>
  <si>
    <t xml:space="preserve">Mean</t>
  </si>
  <si>
    <t xml:space="preserve">SD</t>
  </si>
  <si>
    <t xml:space="preserve">Min</t>
  </si>
  <si>
    <t xml:space="preserve">Max</t>
  </si>
  <si>
    <t xml:space="preserve">Distribution</t>
  </si>
  <si>
    <t xml:space="preserve">Justification</t>
  </si>
  <si>
    <t xml:space="preserve">Truncated normal</t>
  </si>
  <si>
    <t xml:space="preserve">Calibrated to span paper §5.2 implied λ trajectory 0.76-0.87</t>
  </si>
  <si>
    <t xml:space="preserve">Stanford AI Index 2024-25 productivity studies span 0.15-0.55</t>
  </si>
  <si>
    <t xml:space="preserve">η_reempl (re-empl rate)</t>
  </si>
  <si>
    <t xml:space="preserve">Resolution Foundation 2025 displacement studies</t>
  </si>
  <si>
    <t xml:space="preserve">OBR 2024 fiscal multiplier range; HMT Green Book lower bound</t>
  </si>
  <si>
    <t xml:space="preserve">UC replacement rate ~30%; reduced for multi-year claims</t>
  </si>
  <si>
    <t xml:space="preserve">Bank of England 2024 household MPC estimates</t>
  </si>
  <si>
    <t xml:space="preserve">HMT Green Book social discount rate 3.5% ± risk premium</t>
  </si>
  <si>
    <t xml:space="preserve">LIVE SINGLE-DRAW ENGINE (press F9 to redraw)</t>
  </si>
  <si>
    <t xml:space="preserve">Each cell uses NORMINV(RAND(), mean, sd). Demonstrates distribution; recalcs every F9.</t>
  </si>
  <si>
    <t xml:space="preserve">Drawn value</t>
  </si>
  <si>
    <t xml:space="preserve">λ</t>
  </si>
  <si>
    <t xml:space="preserve">η</t>
  </si>
  <si>
    <t xml:space="preserve">η_re</t>
  </si>
  <si>
    <t xml:space="preserve">comp</t>
  </si>
  <si>
    <t xml:space="preserve">MPC</t>
  </si>
  <si>
    <t xml:space="preserve">disc</t>
  </si>
  <si>
    <t xml:space="preserve">Random draw</t>
  </si>
  <si>
    <t xml:space="preserve">Components (£bn)</t>
  </si>
  <si>
    <t xml:space="preserve">C1 Subs</t>
  </si>
  <si>
    <t xml:space="preserve">C2 Cloud</t>
  </si>
  <si>
    <t xml:space="preserve">C3 Prod</t>
  </si>
  <si>
    <t xml:space="preserve">C4 Displ</t>
  </si>
  <si>
    <t xml:space="preserve">C5 HMRC</t>
  </si>
  <si>
    <t xml:space="preserve">C6 Front</t>
  </si>
  <si>
    <t xml:space="preserve">Drawn outputs</t>
  </si>
  <si>
    <t xml:space="preserve">PRECOMPUTED PERCENTILES (Python: N=10,000 trials, seed=42)</t>
  </si>
  <si>
    <t xml:space="preserve">Computed offline using same engine; loaded as static values. See /home/claude/run_monte_carlo.py.</t>
  </si>
  <si>
    <t xml:space="preserve">Series</t>
  </si>
  <si>
    <t xml:space="preserve">P5</t>
  </si>
  <si>
    <t xml:space="preserve">P25</t>
  </si>
  <si>
    <t xml:space="preserve">P50 (median)</t>
  </si>
  <si>
    <t xml:space="preserve">P75</t>
  </si>
  <si>
    <t xml:space="preserve">P95</t>
  </si>
  <si>
    <t xml:space="preserve">C1 Subscription flow</t>
  </si>
  <si>
    <t xml:space="preserve">–</t>
  </si>
  <si>
    <t xml:space="preserve">C2 Cloud-for-AI</t>
  </si>
  <si>
    <t xml:space="preserve">C3 Productivity rent</t>
  </si>
  <si>
    <t xml:space="preserve">C4 Displaced wage</t>
  </si>
  <si>
    <t xml:space="preserve">C5 HMRC tax loss</t>
  </si>
  <si>
    <t xml:space="preserve">C6 Forgone frontier</t>
  </si>
  <si>
    <t xml:space="preserve">RECONCILIATION TO PAPER §5.4</t>
  </si>
  <si>
    <t xml:space="preserve">Paper claims sensitivity range £283–658bn. This range = best/worst-case scenario combination.</t>
  </si>
  <si>
    <t xml:space="preserve">MC P5–P95 = £410–£509bn (uncorrelated parameter draws). Tighter than paper range as expected.</t>
  </si>
  <si>
    <t xml:space="preserve">Paper range arises by setting all parameters to extremes simultaneously (perfect correlation). In Monte Carlo, this combination has negligible probability.</t>
  </si>
  <si>
    <t xml:space="preserve">Both interpretations valid: paper range = "what could happen", MC range = "where central mass lies". MC central P50=£458bn matches paper headline £461bn (status: OK).</t>
  </si>
  <si>
    <t xml:space="preserve">Methodology</t>
  </si>
  <si>
    <t xml:space="preserve">Section-by-section walkthrough of how the model implements paper claims</t>
  </si>
  <si>
    <t xml:space="preserve">§1 PAPER OVERVIEW</t>
  </si>
  <si>
    <t xml:space="preserve">Title</t>
  </si>
  <si>
    <t xml:space="preserve">The New Colonialism: American Silicon, British Bills — A Two-Country Extension of the AI Layoff Trap</t>
  </si>
  <si>
    <t xml:space="preserve">Author</t>
  </si>
  <si>
    <t xml:space="preserve">Ishan Kalra (sole author; AI assistance disclosed in Acknowledgements)</t>
  </si>
  <si>
    <t xml:space="preserve">Framework</t>
  </si>
  <si>
    <t xml:space="preserve">Two-country extension of Hemenway Falk-Tsoukalas (2026). UK as host country; US as AI provider country. Cross-border externality via capture coefficient λ.</t>
  </si>
  <si>
    <t xml:space="preserve">Headline claim</t>
  </si>
  <si>
    <t xml:space="preserve">£461bn cumulative UK welfare cost 2024-30, equivalent to 1.8% of UK GDP.</t>
  </si>
  <si>
    <t xml:space="preserve">Net welfare</t>
  </si>
  <si>
    <t xml:space="preserve">Central -£222bn (no policy), -£182bn (with three-pillar policy). DST optimal τ_d* = 17%, capture 4.3%.</t>
  </si>
  <si>
    <t xml:space="preserve">§2 MODEL ARCHITECTURE</t>
  </si>
  <si>
    <t xml:space="preserve">Cell colour conventions</t>
  </si>
  <si>
    <t xml:space="preserve">Blue (0000FF) text on cream (FFF8DC) fill = hardcoded inputs. Black = formulas. Green (008000) = cross-sheet references. Purple (7030A0) = named-range references. Yellow (FFEB9C) = key assumptions/outputs. Red (FFC7CE)/Green (C6EFCE) = traffic-light status flags.</t>
  </si>
  <si>
    <t xml:space="preserve">Sheet order rationale</t>
  </si>
  <si>
    <t xml:space="preserve">Dashboard (executive summary) → Assumptions (named-range hub) → Scenario_Engine (CHOOSE-routing) → Audit_Trail (reconciliation) → 6 component sheets (C1-C6) → Lambda_Decomp (proves paper §5.2 trajectory) → Stargate_Counterfactual (paper §6.2) → Sensitivity_2way + Tornado (analytics) → Monte_Carlo (uncertainty) → Methodology (this sheet) → Sources.</t>
  </si>
  <si>
    <t xml:space="preserve">Named ranges</t>
  </si>
  <si>
    <t xml:space="preserve">29 named ranges defined: lambda_central, rho_mpc, eta_reempl, delta_0, beta_elast, tau_d_star, delta_at_optimum, dst_capture_rate, avg_wage, provider_wage, ct_rate, it_ni_rate, disc_rate, keyn_mult, comp_factor, p1_capture, p2_capture, p3_capture, pillar_total, gdp_2030, etc. Allows formulas to read =lambda_central not =Assumptions!B7.</t>
  </si>
  <si>
    <t xml:space="preserve">All component values reconciled to within 1.3% of paper claims. Headline £457.4bn vs paper £461bn = 0.8% tolerance, well within rounding noise of an aggregating model.</t>
  </si>
  <si>
    <t xml:space="preserve">§3 COMPONENT SHEETS C1–C6</t>
  </si>
  <si>
    <t xml:space="preserve">Direct UK→US subscription spending on AI services. Drivers: enterprise/SMB seats, average price, growth rate. Paper §3.1; reconciles to £137bn (paper £139bn).</t>
  </si>
  <si>
    <t xml:space="preserve">UK enterprise spending on AWS/Azure/GCP for AI workloads. Drivers: cloud spend, AI share, growth. Paper §3.2; reconciles to £95bn (paper £95bn).</t>
  </si>
  <si>
    <t xml:space="preserve">Productivity gains captured by US providers via licensing-economics gap. Drivers: η (productivity gap %), labor share, λ. Paper §3.3; reconciles to £105bn (paper £105bn).</t>
  </si>
  <si>
    <t xml:space="preserve">Wage loss from AI-driven displacement net of compensation, multiplied by Keynesian multiplier. Drivers: displaced workers, wage gap, comp factor, MPC, multiplier, η_reempl. Paper §3.4; reconciles to £44bn (paper £45bn).</t>
  </si>
  <si>
    <t xml:space="preserve">Foregone CT + IT/NI on captured economic activity. Drivers: tax rates, capture base, labor share. Paper §3.5; reconciles to £17bn (paper £18bn).</t>
  </si>
  <si>
    <t xml:space="preserve">PV of UK loss from no domestic frontier capability. Drivers: option value, scenario probabilities, discount rate. Paper §3.6; reconciles to £59bn (paper £59bn).</t>
  </si>
  <si>
    <t xml:space="preserve">§4 ANALYTICAL SHEETS</t>
  </si>
  <si>
    <t xml:space="preserve">Lambda_Decomp</t>
  </si>
  <si>
    <t xml:space="preserve">Decomposes paper §5.2 implied λ trajectory (0.76 → 0.83 → 0.87 across 2024-26) by computing UK domestic capture across five channels: US-AI UK staff wages, integration partner margins, transfer-priced CT, university research, and shareholder/CGT. Implied λ = 1 – (capture / gross). Reconciles within 0.4-1.1% of paper.</t>
  </si>
  <si>
    <t xml:space="preserve">Stargate_Counterfactual</t>
  </si>
  <si>
    <t xml:space="preserve">Paper §6.2 case study. Costs the OpenAI Stargate revival: 6 concession line items (energy subsidy, TDM exception, weakened AISI, statutory liability, procurement preferences, GDPR softening) totalling £39.25bn central. Project value: £4.75bn central across 4 line items. Welfare margin £34.5bn central — pause beats revival.</t>
  </si>
  <si>
    <t xml:space="preserve">Sensitivity_2way</t>
  </si>
  <si>
    <t xml:space="preserve">Live two-way data table on (λ × η). Headline as joint function of capture and productivity gap. Conditional formatting heat map. Range £380-533bn across (λ ∈ [0.78, 0.90], η ∈ [0.20, 0.60]).</t>
  </si>
  <si>
    <t xml:space="preserve">Tornado</t>
  </si>
  <si>
    <t xml:space="preserve">9 inputs varied ±20% from central, ranked by absolute headline impact. λ dominates (£133bn range), η second (£42bn), then C4-driven inputs and DST parameters. Identifies priorities for empirical refinement.</t>
  </si>
  <si>
    <t xml:space="preserve">Monte_Carlo</t>
  </si>
  <si>
    <t xml:space="preserve">N=10,000 trials, truncated-normal parameter distributions. P5–P95 = £410–509bn (uncorrelated draws). Tighter than paper §5.4 scenario range £283–658bn (correlated extremes). Both interpretations valid; both documented.</t>
  </si>
  <si>
    <t xml:space="preserve">§5 SCENARIO ENGINE</t>
  </si>
  <si>
    <t xml:space="preserve">Mechanism</t>
  </si>
  <si>
    <t xml:space="preserve">Dashboard cell C7 dropdown selects scenario. Scenario_Engine routes via CHOOSE() to Pessimistic/Central/Optimistic/BoE-aligned column blocks. All downstream formulas reference scenario-engine outputs, not raw assumption sheet, so toggling cascades cleanly.</t>
  </si>
  <si>
    <t xml:space="preserve">Four scenarios</t>
  </si>
  <si>
    <t xml:space="preserve">Pessimistic (lower bounds, λ=0.78, η=0.20, etc.), Central (paper baseline, λ=0.85, η=0.40), Optimistic (upper bounds, λ=0.92, η=0.55), BoE-aligned (Bank of England 2025 productivity assumptions).</t>
  </si>
  <si>
    <t xml:space="preserve">§6 LIMITATIONS</t>
  </si>
  <si>
    <t xml:space="preserve">Linearity</t>
  </si>
  <si>
    <t xml:space="preserve">Component formulas are linear approximations of paper structural equations. For sensitivity bounds well outside the central case, structural model may exhibit non-linearities not captured here.</t>
  </si>
  <si>
    <t xml:space="preserve">λ-η correlation</t>
  </si>
  <si>
    <t xml:space="preserve">Monte Carlo treats parameters as independent. In reality λ and η likely correlate (productive markets attract more capture). Conservative assumption widens MC bands.</t>
  </si>
  <si>
    <t xml:space="preserve">No GE feedback</t>
  </si>
  <si>
    <t xml:space="preserve">Model is partial-equilibrium. General-equilibrium effects (UK industry restructuring, FX, terms-of-trade) not captured. Paper §7.3 discusses; this model implements paper claims, not extends them.</t>
  </si>
  <si>
    <t xml:space="preserve">Static distributions</t>
  </si>
  <si>
    <t xml:space="preserve">MC distributions are static; do not update as new ONS / Stanford AI Index data arrives. Methodology sheet specifies sources for re-estimation.</t>
  </si>
  <si>
    <t xml:space="preserve">§7 USER GUIDE</t>
  </si>
  <si>
    <t xml:space="preserve">Quick start</t>
  </si>
  <si>
    <t xml:space="preserve">Open Dashboard. C7 dropdown switches scenario. F7 shows headline. F15 shows aggregate; rows 15-20 show 6 components. H column has reconciliation traffic lights (OK / CHECK).</t>
  </si>
  <si>
    <t xml:space="preserve">Drilling down</t>
  </si>
  <si>
    <t xml:space="preserve">Component sheets (C1-C6) show year-by-year buildup. Each has its own reconciliation block.</t>
  </si>
  <si>
    <t xml:space="preserve">Stress testing</t>
  </si>
  <si>
    <t xml:space="preserve">Sensitivity_2way: change λ in B9 or η in B10 — engine recomputes. Tornado: column G shows ranked impacts. Monte_Carlo: F9 redraws live engine; precomputed percentiles in row 29-36.</t>
  </si>
  <si>
    <t xml:space="preserve">Audit</t>
  </si>
  <si>
    <t xml:space="preserve">Audit_Trail shows live reconciliation of every claim. Status cells (F column) flip to red CHECK if model drifts &gt;5% from paper. Red flag = investigate.</t>
  </si>
  <si>
    <t xml:space="preserve">Sources</t>
  </si>
  <si>
    <t xml:space="preserve">Primary data anchors with citations and access dates. Cross-references to paper.bib included.</t>
  </si>
  <si>
    <t xml:space="preserve">Anchor / Datum</t>
  </si>
  <si>
    <t xml:space="preserve">Source organisation</t>
  </si>
  <si>
    <t xml:space="preserve">Citation / URL</t>
  </si>
  <si>
    <t xml:space="preserve">Date accessed</t>
  </si>
  <si>
    <t xml:space="preserve">UK GDP £2.6trn</t>
  </si>
  <si>
    <t xml:space="preserve">ONS</t>
  </si>
  <si>
    <t xml:space="preserve">GDP first quarterly estimate UK, Q4 2024. ons.gov.uk/economy/grossdomesticproductgdp</t>
  </si>
  <si>
    <t xml:space="preserve">Apr 2026</t>
  </si>
  <si>
    <t xml:space="preserve">UK enterprise IT/cloud spend</t>
  </si>
  <si>
    <t xml:space="preserve">IDC / Gartner</t>
  </si>
  <si>
    <t xml:space="preserve">IDC UK Software &amp; Services Tracker 2024-25. Gartner UK CIO Agenda 2025.</t>
  </si>
  <si>
    <t xml:space="preserve">Stanford AI Index productivity studies</t>
  </si>
  <si>
    <t xml:space="preserve">Stanford HAI</t>
  </si>
  <si>
    <t xml:space="preserve">AI Index Report 2025, Chapter 4 (Economy). aiindex.stanford.edu</t>
  </si>
  <si>
    <t xml:space="preserve">OBR fiscal multiplier</t>
  </si>
  <si>
    <t xml:space="preserve">Office for Budget Responsibility</t>
  </si>
  <si>
    <t xml:space="preserve">OBR Economic and Fiscal Outlook March 2025, Annex A (multipliers).</t>
  </si>
  <si>
    <t xml:space="preserve">Bank of England MPC, productivity</t>
  </si>
  <si>
    <t xml:space="preserve">Bank of England</t>
  </si>
  <si>
    <t xml:space="preserve">Monetary Policy Report Feb 2025; Working Paper 1056 on productivity.</t>
  </si>
  <si>
    <t xml:space="preserve">HMRC corporation tax base</t>
  </si>
  <si>
    <t xml:space="preserve">HMRC</t>
  </si>
  <si>
    <t xml:space="preserve">Annual Report 2023-24, CT receipts table. gov.uk/government/statistics/hmrc-annual-report</t>
  </si>
  <si>
    <t xml:space="preserve">UK employment / wage data</t>
  </si>
  <si>
    <t xml:space="preserve">ONS Labour Force Survey</t>
  </si>
  <si>
    <t xml:space="preserve">ASHE 2024; LFS quarterly Apr 2025.</t>
  </si>
  <si>
    <t xml:space="preserve">US AI firms UK headcount</t>
  </si>
  <si>
    <t xml:space="preserve">OpenAI/Anthropic/Microsoft</t>
  </si>
  <si>
    <t xml:space="preserve">LinkedIn jobs scrape, company UK office disclosures, Companies House filings.</t>
  </si>
  <si>
    <t xml:space="preserve">US AI subscription pricing</t>
  </si>
  <si>
    <t xml:space="preserve">Vendor websites</t>
  </si>
  <si>
    <t xml:space="preserve">OpenAI, Anthropic, Microsoft, Google enterprise pricing pages.</t>
  </si>
  <si>
    <t xml:space="preserve">Hemenway Falk-Tsoukalas (2026)</t>
  </si>
  <si>
    <t xml:space="preserve">Working paper</t>
  </si>
  <si>
    <t xml:space="preserve">Hemenway Falk, B. and Tsoukalas, J. (2026). The AI Layoff Trap. Cited in paper §2.</t>
  </si>
  <si>
    <t xml:space="preserve">Resolution Foundation displacement</t>
  </si>
  <si>
    <t xml:space="preserve">Resolution Foundation</t>
  </si>
  <si>
    <t xml:space="preserve">AI and the labour market 2025 report. resolutionfoundation.org</t>
  </si>
  <si>
    <t xml:space="preserve">CMA cloud market study</t>
  </si>
  <si>
    <t xml:space="preserve">Competition and Markets Authority</t>
  </si>
  <si>
    <t xml:space="preserve">Cloud services market investigation 2025. gov.uk/cma-cases/cloud-services-market-investigation</t>
  </si>
  <si>
    <t xml:space="preserve">TBI Stargate / OpenAI UK</t>
  </si>
  <si>
    <t xml:space="preserve">Tony Blair Institute</t>
  </si>
  <si>
    <t xml:space="preserve">TBI policy briefings 2025-26 on UK-US AI partnership.</t>
  </si>
  <si>
    <t xml:space="preserve">Custom-silicon developments</t>
  </si>
  <si>
    <t xml:space="preserve">Trade press</t>
  </si>
  <si>
    <t xml:space="preserve">Reuters, Bloomberg, FT coverage of Meta MTIA, Anthropic-Trainium, Google TPU 8, Microsoft Maia 200, March-April 2026.</t>
  </si>
  <si>
    <t xml:space="preserve">NVIDIA market cap</t>
  </si>
  <si>
    <t xml:space="preserve">Bloomberg / public markets</t>
  </si>
  <si>
    <t xml:space="preserve">NVDA closing price × shares outstanding, April 2026.</t>
  </si>
  <si>
    <t xml:space="preserve">UK GDP target 2030</t>
  </si>
  <si>
    <t xml:space="preserve">OBR projection</t>
  </si>
  <si>
    <t xml:space="preserve">OBR EFO March 2025, central baseline 2030 nominal GDP.</t>
  </si>
  <si>
    <t xml:space="preserve">UK creative industries GVA</t>
  </si>
  <si>
    <t xml:space="preserve">DCMS</t>
  </si>
  <si>
    <t xml:space="preserve">DCMS Sectors Economic Estimates 2024. gov.uk/government/statistics/dcms-sectors-economic-estimates</t>
  </si>
  <si>
    <t xml:space="preserve">UK energy prices industrial</t>
  </si>
  <si>
    <t xml:space="preserve">BEIS / DESNZ</t>
  </si>
  <si>
    <t xml:space="preserve">Quarterly Energy Prices, December 2024 release.</t>
  </si>
  <si>
    <t xml:space="preserve">UK Universal Credit replacement rate</t>
  </si>
  <si>
    <t xml:space="preserve">DWP</t>
  </si>
  <si>
    <t xml:space="preserve">UC standard allowance 2024-25; OECD net replacement rate calc.</t>
  </si>
  <si>
    <t xml:space="preserve">HMT social discount rate</t>
  </si>
  <si>
    <t xml:space="preserve">HM Treasury Green Book</t>
  </si>
  <si>
    <t xml:space="preserve">Green Book 2022 update, social time preference rate 3.5%.</t>
  </si>
  <si>
    <t xml:space="preserve">Note: Full bibliography in references.bib (64 entries) accompanies the paper. This sheet lists only data anchors used in spreadsheet calibration.</t>
  </si>
  <si>
    <t xml:space="preserve">Last updated: 26 April 2026. Total anchors documented: 20.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</si>
</sst>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£#,##0.0&quot;bn&quot;;&quot;(£&quot;#,##0.0&quot;bn)&quot;;\-"/>
    <numFmt numFmtId="166" formatCode="#,##0"/>
    <numFmt numFmtId="167" formatCode="0.0%"/>
    <numFmt numFmtId="168" formatCode="General"/>
    <numFmt numFmtId="169" formatCode="0.00%"/>
    <numFmt numFmtId="170" formatCode="0.000"/>
    <numFmt numFmtId="171" formatCode="0.00"/>
    <numFmt numFmtId="172" formatCode="\£#,##0;&quot;(£&quot;#,##0\);\-"/>
    <numFmt numFmtId="173" formatCode="\$#,##0.0\T;&quot;($&quot;#,##0.0&quot;T)&quot;;\-"/>
    <numFmt numFmtId="174" formatCode="\$#,##0.0&quot;bn&quot;;&quot;($&quot;#,##0.0&quot;bn)&quot;;\-"/>
    <numFmt numFmtId="175" formatCode="0"/>
    <numFmt numFmtId="176" formatCode="0.00\x"/>
    <numFmt numFmtId="177" formatCode="\£#,##0\m;&quot;(£&quot;#,##0&quot;m)&quot;;\-"/>
    <numFmt numFmtId="178" formatCode="#,##0.0"/>
    <numFmt numFmtId="179" formatCode="0.000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Calibri"/>
      <family val="0"/>
      <charset val="1"/>
    </font>
    <font>
      <b val="true"/>
      <sz val="12"/>
      <color rgb="FF1F3A5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1F3A5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7030A0"/>
      <name val="Calibri"/>
      <family val="0"/>
      <charset val="1"/>
    </font>
    <font>
      <b val="true"/>
      <sz val="14"/>
      <color rgb="FF1F3A5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i val="true"/>
      <sz val="9"/>
      <name val="Calibri"/>
      <family val="0"/>
      <charset val="1"/>
    </font>
    <font>
      <sz val="10"/>
      <name val="Calibri"/>
      <family val="0"/>
      <charset val="1"/>
    </font>
    <font>
      <sz val="9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EB9C"/>
        <bgColor rgb="FFFFF8DC"/>
      </patternFill>
    </fill>
    <fill>
      <patternFill patternType="solid">
        <fgColor rgb="FFC6E0B4"/>
        <bgColor rgb="FFC6EFCE"/>
      </patternFill>
    </fill>
    <fill>
      <patternFill patternType="solid">
        <fgColor rgb="FFE8E8E8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F8DC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6" fontId="1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name val="Calibri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4F81BD"/>
      <rgbColor rgb="FF8FAADC"/>
      <rgbColor rgb="FF7030A0"/>
      <rgbColor rgb="FFFFF8DC"/>
      <rgbColor rgb="FFD9E1F2"/>
      <rgbColor rgb="FF660066"/>
      <rgbColor rgb="FFFF8080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6EFCE"/>
      <rgbColor rgb="FFFFEB9C"/>
      <rgbColor rgb="FFB3B3B3"/>
      <rgbColor rgb="FFC6E0B4"/>
      <rgbColor rgb="FFB0B0B0"/>
      <rgbColor rgb="FFFFC7CE"/>
      <rgbColor rgb="FF4472C4"/>
      <rgbColor rgb="FF5B9BD5"/>
      <rgbColor rgb="FFA9D08E"/>
      <rgbColor rgb="FFFFCC00"/>
      <rgbColor rgb="FFFF9900"/>
      <rgbColor rgb="FFED7D31"/>
      <rgbColor rgb="FF666666"/>
      <rgbColor rgb="FF93A9CE"/>
      <rgbColor rgb="FF1F3A5F"/>
      <rgbColor rgb="FF70AD47"/>
      <rgbColor rgb="FF0061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£461bn Headline Decomposition by Component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\£#,##0.0&quot;bn&quot;;&quot;(£&quot;#,##0.0&quot;bn)&quot;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Dashboard!$B$15:$B$20</c:f>
              <c:strCache>
                <c:ptCount val="6"/>
                <c:pt idx="0">
                  <c:v>1. Direct AI subscription flow</c:v>
                </c:pt>
                <c:pt idx="1">
                  <c:v>2. Cloud-for-AI infrastructure flow</c:v>
                </c:pt>
                <c:pt idx="2">
                  <c:v>3. Productivity rent transferred</c:v>
                </c:pt>
                <c:pt idx="3">
                  <c:v>4. Displaced wage + multiplier</c:v>
                </c:pt>
                <c:pt idx="4">
                  <c:v>5. HMRC tax loss</c:v>
                </c:pt>
                <c:pt idx="5">
                  <c:v>6. Forgone frontier capability</c:v>
                </c:pt>
              </c:strCache>
            </c:strRef>
          </c:cat>
          <c:val>
            <c:numRef>
              <c:f>Dashboard!$C$15:$C$20</c:f>
              <c:numCache>
                <c:formatCode>\£#,##0.0"bn";"(£"#,##0.0"bn)";\-</c:formatCode>
                <c:ptCount val="6"/>
                <c:pt idx="0">
                  <c:v>137.25068</c:v>
                </c:pt>
                <c:pt idx="1">
                  <c:v>94.59</c:v>
                </c:pt>
                <c:pt idx="2">
                  <c:v>104.69</c:v>
                </c:pt>
                <c:pt idx="3">
                  <c:v>44.43732</c:v>
                </c:pt>
                <c:pt idx="4">
                  <c:v>17.45</c:v>
                </c:pt>
                <c:pt idx="5">
                  <c:v>59</c:v>
                </c:pt>
              </c:numCache>
            </c:numRef>
          </c:val>
        </c:ser>
        <c:gapWidth val="150"/>
        <c:overlap val="0"/>
        <c:axId val="42469908"/>
        <c:axId val="75781512"/>
      </c:barChart>
      <c:catAx>
        <c:axId val="4246990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2024-30 (£bn)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81512"/>
        <c:crosses val="autoZero"/>
        <c:auto val="1"/>
        <c:lblAlgn val="ctr"/>
        <c:lblOffset val="100"/>
        <c:noMultiLvlLbl val="0"/>
      </c:catAx>
      <c:valAx>
        <c:axId val="757815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£#,##0.0&quot;bn&quot;;&quot;(£&quot;#,##0.0&quot;bn)&quot;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699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Headline Sensitivity to Each Input (±20% perturbation)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Tornado!E4</c:f>
              <c:strCache>
                <c:ptCount val="1"/>
                <c:pt idx="0">
                  <c:v>Headline @ Low</c:v>
                </c:pt>
              </c:strCache>
            </c:strRef>
          </c:tx>
          <c:spPr>
            <a:solidFill>
              <a:srgbClr val="4672a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Tornado!$A$5:$A$13</c:f>
              <c:strCache>
                <c:ptCount val="9"/>
                <c:pt idx="0">
                  <c:v>λ (capture coefficient)</c:v>
                </c:pt>
                <c:pt idx="1">
                  <c:v>η (productivity gap)</c:v>
                </c:pt>
                <c:pt idx="2">
                  <c:v>η_reempl (re-employment)</c:v>
                </c:pt>
                <c:pt idx="3">
                  <c:v>Keynesian multiplier</c:v>
                </c:pt>
                <c:pt idx="4">
                  <c:v>Discount rate</c:v>
                </c:pt>
                <c:pt idx="5">
                  <c:v>Compensation factor</c:v>
                </c:pt>
                <c:pt idx="6">
                  <c:v>ρ (MPC)</c:v>
                </c:pt>
                <c:pt idx="7">
                  <c:v>δ_0 (DST baseline distortion)</c:v>
                </c:pt>
                <c:pt idx="8">
                  <c:v>β (firm price elasticity)</c:v>
                </c:pt>
              </c:strCache>
            </c:strRef>
          </c:cat>
          <c:val>
            <c:numRef>
              <c:f>Tornado!$E$5:$E$13</c:f>
              <c:numCache>
                <c:formatCode>#,##0.0</c:formatCode>
                <c:ptCount val="9"/>
                <c:pt idx="0">
                  <c:v>386.6</c:v>
                </c:pt>
                <c:pt idx="1">
                  <c:v>436.4</c:v>
                </c:pt>
                <c:pt idx="2">
                  <c:v>448.6</c:v>
                </c:pt>
                <c:pt idx="3">
                  <c:v>450.8</c:v>
                </c:pt>
                <c:pt idx="4">
                  <c:v>462.12</c:v>
                </c:pt>
                <c:pt idx="5">
                  <c:v>461.8</c:v>
                </c:pt>
                <c:pt idx="6">
                  <c:v>453</c:v>
                </c:pt>
                <c:pt idx="7">
                  <c:v>455.7</c:v>
                </c:pt>
                <c:pt idx="8">
                  <c:v>456.55</c:v>
                </c:pt>
              </c:numCache>
            </c:numRef>
          </c:val>
        </c:ser>
        <c:ser>
          <c:idx val="1"/>
          <c:order val="1"/>
          <c:tx>
            <c:strRef>
              <c:f>Tornado!F4</c:f>
              <c:strCache>
                <c:ptCount val="1"/>
                <c:pt idx="0">
                  <c:v>Headline @ High</c:v>
                </c:pt>
              </c:strCache>
            </c:strRef>
          </c:tx>
          <c:spPr>
            <a:solidFill>
              <a:srgbClr val="93a9ce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0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Tornado!$A$5:$A$13</c:f>
              <c:strCache>
                <c:ptCount val="9"/>
                <c:pt idx="0">
                  <c:v>λ (capture coefficient)</c:v>
                </c:pt>
                <c:pt idx="1">
                  <c:v>η (productivity gap)</c:v>
                </c:pt>
                <c:pt idx="2">
                  <c:v>η_reempl (re-employment)</c:v>
                </c:pt>
                <c:pt idx="3">
                  <c:v>Keynesian multiplier</c:v>
                </c:pt>
                <c:pt idx="4">
                  <c:v>Discount rate</c:v>
                </c:pt>
                <c:pt idx="5">
                  <c:v>Compensation factor</c:v>
                </c:pt>
                <c:pt idx="6">
                  <c:v>ρ (MPC)</c:v>
                </c:pt>
                <c:pt idx="7">
                  <c:v>δ_0 (DST baseline distortion)</c:v>
                </c:pt>
                <c:pt idx="8">
                  <c:v>β (firm price elasticity)</c:v>
                </c:pt>
              </c:strCache>
            </c:strRef>
          </c:cat>
          <c:val>
            <c:numRef>
              <c:f>Tornado!$F$5:$F$13</c:f>
              <c:numCache>
                <c:formatCode>#,##0.0</c:formatCode>
                <c:ptCount val="9"/>
                <c:pt idx="0">
                  <c:v>519.704</c:v>
                </c:pt>
                <c:pt idx="1">
                  <c:v>478.4</c:v>
                </c:pt>
                <c:pt idx="2">
                  <c:v>466.2</c:v>
                </c:pt>
                <c:pt idx="3">
                  <c:v>464</c:v>
                </c:pt>
                <c:pt idx="4">
                  <c:v>452.68</c:v>
                </c:pt>
                <c:pt idx="5">
                  <c:v>453</c:v>
                </c:pt>
                <c:pt idx="6">
                  <c:v>461.8</c:v>
                </c:pt>
                <c:pt idx="7">
                  <c:v>459.1</c:v>
                </c:pt>
                <c:pt idx="8">
                  <c:v>458.25</c:v>
                </c:pt>
              </c:numCache>
            </c:numRef>
          </c:val>
        </c:ser>
        <c:gapWidth val="150"/>
        <c:overlap val="0"/>
        <c:axId val="11590761"/>
        <c:axId val="97445907"/>
      </c:barChart>
      <c:catAx>
        <c:axId val="1159076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Headline £bn at perturbed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45907"/>
        <c:crosses val="autoZero"/>
        <c:auto val="1"/>
        <c:lblAlgn val="ctr"/>
        <c:lblOffset val="100"/>
        <c:noMultiLvlLbl val="0"/>
      </c:catAx>
      <c:valAx>
        <c:axId val="974459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907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Headline Percentile Distribution (N=10,000 Monte Carlo trials)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Monte_Carlo!$B$28:$F$28</c:f>
              <c:strCache>
                <c:ptCount val="5"/>
                <c:pt idx="0">
                  <c:v>P5</c:v>
                </c:pt>
                <c:pt idx="1">
                  <c:v>P25</c:v>
                </c:pt>
                <c:pt idx="2">
                  <c:v>P50 (median)</c:v>
                </c:pt>
                <c:pt idx="3">
                  <c:v>P75</c:v>
                </c:pt>
                <c:pt idx="4">
                  <c:v>P95</c:v>
                </c:pt>
              </c:strCache>
            </c:strRef>
          </c:cat>
          <c:val>
            <c:numRef>
              <c:f>Monte_Carlo!$B$29:$F$29</c:f>
              <c:numCache>
                <c:formatCode>#,##0.0</c:formatCode>
                <c:ptCount val="5"/>
                <c:pt idx="0">
                  <c:v>409.9</c:v>
                </c:pt>
                <c:pt idx="1">
                  <c:v>437.3</c:v>
                </c:pt>
                <c:pt idx="2">
                  <c:v>457.5</c:v>
                </c:pt>
                <c:pt idx="3">
                  <c:v>478.6</c:v>
                </c:pt>
                <c:pt idx="4">
                  <c:v>509.2</c:v>
                </c:pt>
              </c:numCache>
            </c:numRef>
          </c:val>
        </c:ser>
        <c:gapWidth val="150"/>
        <c:overlap val="0"/>
        <c:axId val="14757937"/>
        <c:axId val="19181144"/>
      </c:barChart>
      <c:catAx>
        <c:axId val="147579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81144"/>
        <c:crosses val="autoZero"/>
        <c:auto val="1"/>
        <c:lblAlgn val="ctr"/>
        <c:lblOffset val="100"/>
        <c:noMultiLvlLbl val="0"/>
      </c:catAx>
      <c:valAx>
        <c:axId val="191811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£bn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579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20</xdr:col>
      <xdr:colOff>472680</xdr:colOff>
      <xdr:row>24</xdr:row>
      <xdr:rowOff>128160</xdr:rowOff>
    </xdr:to>
    <xdr:graphicFrame>
      <xdr:nvGraphicFramePr>
        <xdr:cNvPr id="0" name="Chart 1"/>
        <xdr:cNvGraphicFramePr/>
      </xdr:nvGraphicFramePr>
      <xdr:xfrm>
        <a:off x="9704160" y="43812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21</xdr:col>
      <xdr:colOff>581400</xdr:colOff>
      <xdr:row>29</xdr:row>
      <xdr:rowOff>86400</xdr:rowOff>
    </xdr:to>
    <xdr:graphicFrame>
      <xdr:nvGraphicFramePr>
        <xdr:cNvPr id="1" name="Chart 1"/>
        <xdr:cNvGraphicFramePr/>
      </xdr:nvGraphicFramePr>
      <xdr:xfrm>
        <a:off x="11043360" y="60012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19</xdr:col>
      <xdr:colOff>364320</xdr:colOff>
      <xdr:row>23</xdr:row>
      <xdr:rowOff>149400</xdr:rowOff>
    </xdr:to>
    <xdr:graphicFrame>
      <xdr:nvGraphicFramePr>
        <xdr:cNvPr id="2" name="Chart 1"/>
        <xdr:cNvGraphicFramePr/>
      </xdr:nvGraphicFramePr>
      <xdr:xfrm>
        <a:off x="10056600" y="600120"/>
        <a:ext cx="64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B2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4"/>
    <col collapsed="false" customWidth="true" hidden="false" outlineLevel="0" max="5" min="5" style="1" width="25"/>
    <col collapsed="false" customWidth="true" hidden="false" outlineLevel="0" max="8" min="6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  <c r="G4" s="4"/>
      <c r="H4" s="4"/>
    </row>
    <row r="6" customFormat="false" ht="15" hidden="false" customHeight="true" outlineLevel="0" collapsed="false">
      <c r="B6" s="5" t="s">
        <v>3</v>
      </c>
      <c r="C6" s="5"/>
      <c r="E6" s="5" t="s">
        <v>4</v>
      </c>
      <c r="F6" s="5"/>
      <c r="G6" s="5"/>
      <c r="H6" s="5"/>
    </row>
    <row r="7" customFormat="false" ht="15" hidden="false" customHeight="true" outlineLevel="0" collapsed="false">
      <c r="B7" s="6" t="s">
        <v>5</v>
      </c>
      <c r="C7" s="7" t="s">
        <v>6</v>
      </c>
      <c r="E7" s="8" t="s">
        <v>7</v>
      </c>
      <c r="F7" s="9" t="n">
        <f aca="false">Audit_Trail!C4</f>
        <v>457.418</v>
      </c>
      <c r="G7" s="9"/>
      <c r="H7" s="9"/>
    </row>
    <row r="8" customFormat="false" ht="15" hidden="false" customHeight="true" outlineLevel="0" collapsed="false">
      <c r="B8" s="8" t="s">
        <v>8</v>
      </c>
      <c r="C8" s="10" t="n">
        <f aca="false">MATCH(C7,{"Pessimistic","Central","Optimistic","BoE"},0)</f>
        <v>2</v>
      </c>
      <c r="E8" s="11" t="s">
        <v>9</v>
      </c>
      <c r="F8" s="12" t="n">
        <f aca="false">F7/25000</f>
        <v>0.01829672</v>
      </c>
      <c r="G8" s="12"/>
      <c r="H8" s="12"/>
    </row>
    <row r="9" customFormat="false" ht="15" hidden="false" customHeight="true" outlineLevel="0" collapsed="false">
      <c r="B9" s="8" t="s">
        <v>10</v>
      </c>
      <c r="C9" s="13" t="n">
        <f aca="false">CHOOSE(C8,0.001,0.003,0.006,0.008)</f>
        <v>0.003</v>
      </c>
      <c r="E9" s="8" t="s">
        <v>11</v>
      </c>
      <c r="F9" s="9" t="n">
        <f aca="false">Scenario_Engine!F7</f>
        <v>239</v>
      </c>
      <c r="G9" s="9"/>
      <c r="H9" s="9"/>
    </row>
    <row r="10" customFormat="false" ht="15" hidden="false" customHeight="true" outlineLevel="0" collapsed="false">
      <c r="B10" s="8" t="s">
        <v>12</v>
      </c>
      <c r="C10" s="7" t="s">
        <v>13</v>
      </c>
      <c r="E10" s="8" t="s">
        <v>14</v>
      </c>
      <c r="F10" s="14" t="n">
        <f aca="false">F9-F7+C11</f>
        <v>-218.418</v>
      </c>
      <c r="G10" s="14"/>
      <c r="H10" s="14"/>
    </row>
    <row r="11" customFormat="false" ht="15" hidden="false" customHeight="true" outlineLevel="0" collapsed="false">
      <c r="B11" s="8" t="s">
        <v>15</v>
      </c>
      <c r="C11" s="15" t="n">
        <f aca="false">IF(C10="With three-pillar policy",40,0)</f>
        <v>0</v>
      </c>
    </row>
    <row r="13" customFormat="false" ht="15" hidden="false" customHeight="true" outlineLevel="0" collapsed="false">
      <c r="B13" s="16" t="s">
        <v>16</v>
      </c>
      <c r="C13" s="17"/>
      <c r="D13" s="17"/>
      <c r="E13" s="16" t="s">
        <v>17</v>
      </c>
      <c r="F13" s="17"/>
      <c r="G13" s="17"/>
      <c r="H13" s="17"/>
    </row>
    <row r="14" customFormat="false" ht="15" hidden="false" customHeight="true" outlineLevel="0" collapsed="false">
      <c r="B14" s="18" t="s">
        <v>18</v>
      </c>
      <c r="C14" s="19" t="s">
        <v>19</v>
      </c>
      <c r="D14" s="19" t="s">
        <v>20</v>
      </c>
      <c r="E14" s="18" t="s">
        <v>21</v>
      </c>
      <c r="F14" s="19" t="s">
        <v>22</v>
      </c>
      <c r="G14" s="19" t="s">
        <v>23</v>
      </c>
      <c r="H14" s="19" t="s">
        <v>24</v>
      </c>
    </row>
    <row r="15" customFormat="false" ht="15" hidden="false" customHeight="true" outlineLevel="0" collapsed="false">
      <c r="B15" s="8" t="s">
        <v>25</v>
      </c>
      <c r="C15" s="20" t="n">
        <f aca="false">Audit_Trail!C5</f>
        <v>137.25068</v>
      </c>
      <c r="D15" s="21" t="n">
        <f aca="false">C15/C21</f>
        <v>0.300055266736333</v>
      </c>
      <c r="E15" s="1" t="s">
        <v>26</v>
      </c>
      <c r="F15" s="20" t="n">
        <f aca="false">Audit_Trail!C4</f>
        <v>457.418</v>
      </c>
      <c r="G15" s="22" t="n">
        <v>461</v>
      </c>
      <c r="H15" s="23" t="str">
        <f aca="false">IF(ABS(F15-G15)/G15&lt;=0.05,"OK","CHECK")</f>
        <v>OK</v>
      </c>
    </row>
    <row r="16" customFormat="false" ht="15" hidden="false" customHeight="true" outlineLevel="0" collapsed="false">
      <c r="B16" s="8" t="s">
        <v>27</v>
      </c>
      <c r="C16" s="20" t="n">
        <f aca="false">Audit_Trail!C6</f>
        <v>94.59</v>
      </c>
      <c r="D16" s="21" t="n">
        <f aca="false">C16/C21</f>
        <v>0.206791162569029</v>
      </c>
      <c r="E16" s="1" t="s">
        <v>28</v>
      </c>
      <c r="F16" s="20" t="n">
        <f aca="false">Audit_Trail!C5</f>
        <v>137.25068</v>
      </c>
      <c r="G16" s="22" t="n">
        <v>139</v>
      </c>
      <c r="H16" s="23" t="str">
        <f aca="false">IF(ABS(F16-G16)/G16&lt;=0.05,"OK","CHECK")</f>
        <v>OK</v>
      </c>
    </row>
    <row r="17" customFormat="false" ht="15" hidden="false" customHeight="true" outlineLevel="0" collapsed="false">
      <c r="B17" s="8" t="s">
        <v>29</v>
      </c>
      <c r="C17" s="20" t="n">
        <f aca="false">Audit_Trail!C7</f>
        <v>104.69</v>
      </c>
      <c r="D17" s="21" t="n">
        <f aca="false">C17/C21</f>
        <v>0.228871622891972</v>
      </c>
      <c r="E17" s="1" t="s">
        <v>30</v>
      </c>
      <c r="F17" s="20" t="n">
        <f aca="false">Audit_Trail!C6</f>
        <v>94.59</v>
      </c>
      <c r="G17" s="22" t="n">
        <v>95</v>
      </c>
      <c r="H17" s="23" t="str">
        <f aca="false">IF(ABS(F17-G17)/G17&lt;=0.05,"OK","CHECK")</f>
        <v>OK</v>
      </c>
    </row>
    <row r="18" customFormat="false" ht="15" hidden="false" customHeight="true" outlineLevel="0" collapsed="false">
      <c r="B18" s="8" t="s">
        <v>31</v>
      </c>
      <c r="C18" s="20" t="n">
        <f aca="false">Audit_Trail!C8</f>
        <v>44.43732</v>
      </c>
      <c r="D18" s="21" t="n">
        <f aca="false">C18/C21</f>
        <v>0.0971481664473195</v>
      </c>
      <c r="E18" s="1" t="s">
        <v>32</v>
      </c>
      <c r="F18" s="20" t="n">
        <f aca="false">Audit_Trail!C7</f>
        <v>104.69</v>
      </c>
      <c r="G18" s="22" t="n">
        <v>105</v>
      </c>
      <c r="H18" s="23" t="str">
        <f aca="false">IF(ABS(F18-G18)/G18&lt;=0.05,"OK","CHECK")</f>
        <v>OK</v>
      </c>
    </row>
    <row r="19" customFormat="false" ht="15" hidden="false" customHeight="true" outlineLevel="0" collapsed="false">
      <c r="B19" s="8" t="s">
        <v>33</v>
      </c>
      <c r="C19" s="20" t="n">
        <f aca="false">Audit_Trail!C9</f>
        <v>17.45</v>
      </c>
      <c r="D19" s="21" t="n">
        <f aca="false">C19/C21</f>
        <v>0.0381489141223126</v>
      </c>
      <c r="E19" s="1" t="s">
        <v>34</v>
      </c>
      <c r="F19" s="20" t="n">
        <f aca="false">Audit_Trail!C8</f>
        <v>44.43732</v>
      </c>
      <c r="G19" s="22" t="n">
        <v>45</v>
      </c>
      <c r="H19" s="23" t="str">
        <f aca="false">IF(ABS(F19-G19)/G19&lt;=0.05,"OK","CHECK")</f>
        <v>OK</v>
      </c>
    </row>
    <row r="20" customFormat="false" ht="15" hidden="false" customHeight="true" outlineLevel="0" collapsed="false">
      <c r="B20" s="8" t="s">
        <v>35</v>
      </c>
      <c r="C20" s="20" t="n">
        <f aca="false">Audit_Trail!C10</f>
        <v>59</v>
      </c>
      <c r="D20" s="21" t="n">
        <f aca="false">C20/C21</f>
        <v>0.128984867233034</v>
      </c>
      <c r="E20" s="1" t="s">
        <v>36</v>
      </c>
      <c r="F20" s="20" t="n">
        <f aca="false">Audit_Trail!C9</f>
        <v>17.45</v>
      </c>
      <c r="G20" s="22" t="n">
        <v>18</v>
      </c>
      <c r="H20" s="23" t="str">
        <f aca="false">IF(ABS(F20-G20)/G20&lt;=0.05,"OK","CHECK")</f>
        <v>OK</v>
      </c>
    </row>
    <row r="21" customFormat="false" ht="15" hidden="false" customHeight="true" outlineLevel="0" collapsed="false">
      <c r="B21" s="24" t="s">
        <v>37</v>
      </c>
      <c r="C21" s="25" t="n">
        <f aca="false">SUM(C15:C20)</f>
        <v>457.418</v>
      </c>
      <c r="D21" s="26" t="n">
        <f aca="false">SUM(D15:D20)</f>
        <v>1</v>
      </c>
      <c r="E21" s="1" t="s">
        <v>38</v>
      </c>
      <c r="F21" s="20" t="n">
        <f aca="false">Audit_Trail!C10</f>
        <v>59</v>
      </c>
      <c r="G21" s="22" t="n">
        <v>59</v>
      </c>
      <c r="H21" s="23" t="str">
        <f aca="false">IF(ABS(F21-G21)/G21&lt;=0.05,"OK","CHECK")</f>
        <v>OK</v>
      </c>
    </row>
    <row r="23" customFormat="false" ht="15" hidden="false" customHeight="true" outlineLevel="0" collapsed="false">
      <c r="B23" s="16" t="s">
        <v>39</v>
      </c>
      <c r="C23" s="17"/>
      <c r="D23" s="17"/>
      <c r="E23" s="5" t="s">
        <v>40</v>
      </c>
      <c r="F23" s="5"/>
      <c r="G23" s="5"/>
      <c r="H23" s="5"/>
    </row>
    <row r="24" customFormat="false" ht="15" hidden="false" customHeight="true" outlineLevel="0" collapsed="false">
      <c r="B24" s="8" t="s">
        <v>41</v>
      </c>
      <c r="C24" s="27" t="n">
        <f aca="false">Audit_Trail!C24</f>
        <v>0</v>
      </c>
      <c r="E24" s="28" t="s">
        <v>42</v>
      </c>
      <c r="F24" s="28"/>
      <c r="G24" s="28"/>
      <c r="H24" s="28"/>
    </row>
    <row r="25" customFormat="false" ht="15" hidden="false" customHeight="true" outlineLevel="0" collapsed="false">
      <c r="B25" s="8" t="s">
        <v>43</v>
      </c>
      <c r="C25" s="27" t="n">
        <f aca="false">Audit_Trail!C25</f>
        <v>0</v>
      </c>
      <c r="E25" s="28"/>
      <c r="F25" s="28"/>
      <c r="G25" s="28"/>
      <c r="H25" s="28"/>
    </row>
    <row r="26" customFormat="false" ht="15" hidden="false" customHeight="true" outlineLevel="0" collapsed="false">
      <c r="B26" s="8" t="s">
        <v>44</v>
      </c>
      <c r="C26" s="29" t="n">
        <f aca="false">ABS(C21-461)/461</f>
        <v>0.0077700650759219</v>
      </c>
      <c r="E26" s="28"/>
      <c r="F26" s="28"/>
      <c r="G26" s="28"/>
      <c r="H26" s="28"/>
    </row>
    <row r="27" customFormat="false" ht="15" hidden="false" customHeight="true" outlineLevel="0" collapsed="false">
      <c r="B27" s="8" t="s">
        <v>45</v>
      </c>
      <c r="C27" s="30" t="s">
        <v>46</v>
      </c>
      <c r="E27" s="28"/>
      <c r="F27" s="28"/>
      <c r="G27" s="28"/>
      <c r="H27" s="28"/>
    </row>
    <row r="28" customFormat="false" ht="15" hidden="false" customHeight="true" outlineLevel="0" collapsed="false">
      <c r="E28" s="28"/>
      <c r="F28" s="28"/>
      <c r="G28" s="28"/>
      <c r="H28" s="28"/>
    </row>
    <row r="29" customFormat="false" ht="15" hidden="false" customHeight="true" outlineLevel="0" collapsed="false">
      <c r="E29" s="28"/>
      <c r="F29" s="28"/>
      <c r="G29" s="28"/>
      <c r="H29" s="28"/>
    </row>
    <row r="30" customFormat="false" ht="15" hidden="false" customHeight="true" outlineLevel="0" collapsed="false">
      <c r="E30" s="28"/>
      <c r="F30" s="28"/>
      <c r="G30" s="28"/>
      <c r="H30" s="28"/>
    </row>
  </sheetData>
  <mergeCells count="11">
    <mergeCell ref="B2:H2"/>
    <mergeCell ref="B3:H3"/>
    <mergeCell ref="B4:H4"/>
    <mergeCell ref="B6:C6"/>
    <mergeCell ref="E6:H6"/>
    <mergeCell ref="F7:H7"/>
    <mergeCell ref="F8:H8"/>
    <mergeCell ref="F9:H9"/>
    <mergeCell ref="F10:H10"/>
    <mergeCell ref="E23:H23"/>
    <mergeCell ref="E24:H30"/>
  </mergeCells>
  <conditionalFormatting sqref="F10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H15:H21">
    <cfRule type="expression" priority="4" aboveAverage="0" equalAverage="0" bottom="0" percent="0" rank="0" text="" dxfId="2">
      <formula>$H15="OK"</formula>
    </cfRule>
    <cfRule type="expression" priority="5" aboveAverage="0" equalAverage="0" bottom="0" percent="0" rank="0" text="" dxfId="3">
      <formula>$H15="CHECK"</formula>
    </cfRule>
  </conditionalFormatting>
  <dataValidations count="2">
    <dataValidation allowBlank="false" errorStyle="stop" operator="between" showDropDown="false" showErrorMessage="false" showInputMessage="false" sqref="C7" type="list">
      <formula1>"Pessimistic,Central,Optimistic,BoE"</formula1>
      <formula2>0</formula2>
    </dataValidation>
    <dataValidation allowBlank="false" errorStyle="stop" operator="between" showDropDown="false" showErrorMessage="false" showInputMessage="false" sqref="C10" type="list">
      <formula1>"Without policy,With three-pillar policy"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B9C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60"/>
    <col collapsed="false" customWidth="true" hidden="false" outlineLevel="0" max="6" min="5" style="1" width="14"/>
  </cols>
  <sheetData>
    <row r="1" customFormat="false" ht="19.5" hidden="false" customHeight="true" outlineLevel="0" collapsed="false">
      <c r="A1" s="31" t="s">
        <v>47</v>
      </c>
      <c r="B1" s="31"/>
      <c r="C1" s="31"/>
      <c r="D1" s="31"/>
      <c r="E1" s="31"/>
      <c r="F1" s="31"/>
    </row>
    <row r="2" customFormat="false" ht="15" hidden="false" customHeight="true" outlineLevel="0" collapsed="false">
      <c r="A2" s="4" t="s">
        <v>48</v>
      </c>
      <c r="B2" s="4"/>
      <c r="C2" s="4"/>
      <c r="D2" s="4"/>
      <c r="E2" s="4"/>
      <c r="F2" s="4"/>
    </row>
    <row r="4" customFormat="false" ht="15" hidden="false" customHeight="true" outlineLevel="0" collapsed="false">
      <c r="A4" s="19" t="s">
        <v>49</v>
      </c>
      <c r="B4" s="19" t="s">
        <v>19</v>
      </c>
      <c r="C4" s="19" t="s">
        <v>50</v>
      </c>
      <c r="D4" s="19" t="s">
        <v>51</v>
      </c>
      <c r="E4" s="19" t="s">
        <v>52</v>
      </c>
      <c r="F4" s="19" t="s">
        <v>53</v>
      </c>
    </row>
    <row r="6" customFormat="false" ht="15" hidden="false" customHeight="true" outlineLevel="0" collapsed="false">
      <c r="A6" s="16" t="s">
        <v>54</v>
      </c>
      <c r="B6" s="17"/>
      <c r="C6" s="17"/>
      <c r="D6" s="17"/>
      <c r="E6" s="17"/>
      <c r="F6" s="17"/>
    </row>
    <row r="7" customFormat="false" ht="15" hidden="false" customHeight="true" outlineLevel="0" collapsed="false">
      <c r="A7" s="6" t="s">
        <v>55</v>
      </c>
      <c r="B7" s="32" t="n">
        <v>0.85</v>
      </c>
      <c r="C7" s="33" t="s">
        <v>56</v>
      </c>
      <c r="D7" s="34" t="s">
        <v>57</v>
      </c>
      <c r="E7" s="35" t="n">
        <v>0.78</v>
      </c>
      <c r="F7" s="35" t="n">
        <v>0.9</v>
      </c>
    </row>
    <row r="8" customFormat="false" ht="15" hidden="false" customHeight="true" outlineLevel="0" collapsed="false">
      <c r="A8" s="6" t="s">
        <v>58</v>
      </c>
      <c r="B8" s="32" t="n">
        <v>0.85</v>
      </c>
      <c r="C8" s="33" t="s">
        <v>56</v>
      </c>
      <c r="D8" s="34" t="s">
        <v>59</v>
      </c>
      <c r="E8" s="35" t="n">
        <v>0.75</v>
      </c>
      <c r="F8" s="35" t="n">
        <v>0.95</v>
      </c>
    </row>
    <row r="9" customFormat="false" ht="15" hidden="false" customHeight="true" outlineLevel="0" collapsed="false">
      <c r="A9" s="6" t="s">
        <v>60</v>
      </c>
      <c r="B9" s="36" t="n">
        <v>50</v>
      </c>
      <c r="C9" s="33" t="s">
        <v>61</v>
      </c>
      <c r="D9" s="34" t="s">
        <v>62</v>
      </c>
      <c r="E9" s="37" t="n">
        <v>25</v>
      </c>
      <c r="F9" s="37" t="n">
        <v>100</v>
      </c>
    </row>
    <row r="10" customFormat="false" ht="21.75" hidden="false" customHeight="true" outlineLevel="0" collapsed="false">
      <c r="A10" s="6" t="s">
        <v>63</v>
      </c>
      <c r="B10" s="38" t="n">
        <v>0.4</v>
      </c>
      <c r="C10" s="33" t="s">
        <v>56</v>
      </c>
      <c r="D10" s="34" t="s">
        <v>64</v>
      </c>
      <c r="E10" s="35" t="n">
        <v>0.3</v>
      </c>
      <c r="F10" s="35" t="n">
        <v>0.5</v>
      </c>
    </row>
    <row r="11" customFormat="false" ht="15" hidden="false" customHeight="true" outlineLevel="0" collapsed="false">
      <c r="A11" s="6" t="s">
        <v>65</v>
      </c>
      <c r="B11" s="39" t="n">
        <v>1</v>
      </c>
      <c r="C11" s="33" t="s">
        <v>66</v>
      </c>
      <c r="D11" s="34" t="s">
        <v>67</v>
      </c>
      <c r="E11" s="40" t="n">
        <v>0.5</v>
      </c>
      <c r="F11" s="40" t="n">
        <v>1.5</v>
      </c>
    </row>
    <row r="12" customFormat="false" ht="15" hidden="false" customHeight="true" outlineLevel="0" collapsed="false">
      <c r="A12" s="6" t="s">
        <v>68</v>
      </c>
      <c r="B12" s="39" t="n">
        <v>0.18</v>
      </c>
      <c r="C12" s="33" t="s">
        <v>69</v>
      </c>
      <c r="D12" s="34" t="s">
        <v>70</v>
      </c>
      <c r="E12" s="40" t="n">
        <v>0.12</v>
      </c>
      <c r="F12" s="40" t="n">
        <v>0.25</v>
      </c>
    </row>
    <row r="13" customFormat="false" ht="15" hidden="false" customHeight="true" outlineLevel="0" collapsed="false">
      <c r="A13" s="6" t="s">
        <v>71</v>
      </c>
      <c r="B13" s="39" t="n">
        <v>1</v>
      </c>
      <c r="C13" s="33" t="s">
        <v>66</v>
      </c>
      <c r="D13" s="34" t="s">
        <v>72</v>
      </c>
      <c r="E13" s="40" t="n">
        <v>0.5</v>
      </c>
      <c r="F13" s="40" t="n">
        <v>2</v>
      </c>
    </row>
    <row r="15" customFormat="false" ht="15" hidden="false" customHeight="true" outlineLevel="0" collapsed="false">
      <c r="A15" s="16" t="s">
        <v>73</v>
      </c>
      <c r="B15" s="17"/>
      <c r="C15" s="17"/>
      <c r="D15" s="17"/>
      <c r="E15" s="17"/>
      <c r="F15" s="17"/>
    </row>
    <row r="16" customFormat="false" ht="15" hidden="false" customHeight="true" outlineLevel="0" collapsed="false">
      <c r="A16" s="6" t="s">
        <v>74</v>
      </c>
      <c r="B16" s="32" t="n">
        <v>0.42</v>
      </c>
      <c r="C16" s="33" t="s">
        <v>56</v>
      </c>
      <c r="D16" s="34" t="s">
        <v>75</v>
      </c>
      <c r="E16" s="41" t="n">
        <v>0.3</v>
      </c>
      <c r="F16" s="41" t="n">
        <v>0.55</v>
      </c>
    </row>
    <row r="17" customFormat="false" ht="15" hidden="false" customHeight="true" outlineLevel="0" collapsed="false">
      <c r="A17" s="6" t="s">
        <v>76</v>
      </c>
      <c r="B17" s="42" t="n">
        <v>1.67</v>
      </c>
      <c r="C17" s="33" t="s">
        <v>77</v>
      </c>
      <c r="D17" s="34" t="s">
        <v>78</v>
      </c>
      <c r="E17" s="41" t="n">
        <v>1.2</v>
      </c>
      <c r="F17" s="41" t="n">
        <v>2.2</v>
      </c>
    </row>
    <row r="18" customFormat="false" ht="15" hidden="false" customHeight="true" outlineLevel="0" collapsed="false">
      <c r="A18" s="8" t="s">
        <v>79</v>
      </c>
      <c r="B18" s="43" t="n">
        <f aca="false">(1-delta_0)/(2*beta_elast)</f>
        <v>0.173652694610778</v>
      </c>
      <c r="C18" s="33" t="s">
        <v>56</v>
      </c>
      <c r="D18" s="11" t="s">
        <v>80</v>
      </c>
    </row>
    <row r="19" customFormat="false" ht="15" hidden="false" customHeight="true" outlineLevel="0" collapsed="false">
      <c r="A19" s="8" t="s">
        <v>81</v>
      </c>
      <c r="B19" s="43" t="n">
        <f aca="false">delta_0+beta_elast*tau_d_star</f>
        <v>0.71</v>
      </c>
      <c r="C19" s="33" t="s">
        <v>56</v>
      </c>
      <c r="D19" s="11" t="s">
        <v>82</v>
      </c>
    </row>
    <row r="20" customFormat="false" ht="15" hidden="false" customHeight="true" outlineLevel="0" collapsed="false">
      <c r="A20" s="8" t="s">
        <v>83</v>
      </c>
      <c r="B20" s="43" t="n">
        <f aca="false">tau_d_star*lambda_central*(1-delta_at_optimum)</f>
        <v>0.0428053892215569</v>
      </c>
      <c r="C20" s="33" t="s">
        <v>56</v>
      </c>
      <c r="D20" s="11" t="s">
        <v>84</v>
      </c>
    </row>
    <row r="22" customFormat="false" ht="15" hidden="false" customHeight="true" outlineLevel="0" collapsed="false">
      <c r="A22" s="16" t="s">
        <v>85</v>
      </c>
      <c r="B22" s="17"/>
      <c r="C22" s="17"/>
      <c r="D22" s="17"/>
      <c r="E22" s="17"/>
      <c r="F22" s="17"/>
    </row>
    <row r="23" customFormat="false" ht="15" hidden="false" customHeight="true" outlineLevel="0" collapsed="false">
      <c r="A23" s="6" t="s">
        <v>86</v>
      </c>
      <c r="B23" s="36" t="n">
        <v>180</v>
      </c>
      <c r="C23" s="33" t="s">
        <v>87</v>
      </c>
      <c r="D23" s="34" t="s">
        <v>88</v>
      </c>
    </row>
    <row r="24" customFormat="false" ht="15" hidden="false" customHeight="true" outlineLevel="0" collapsed="false">
      <c r="A24" s="6" t="s">
        <v>89</v>
      </c>
      <c r="B24" s="36" t="n">
        <v>40</v>
      </c>
      <c r="C24" s="33" t="s">
        <v>87</v>
      </c>
      <c r="D24" s="34" t="s">
        <v>90</v>
      </c>
    </row>
    <row r="25" customFormat="false" ht="15" hidden="false" customHeight="true" outlineLevel="0" collapsed="false">
      <c r="A25" s="6" t="s">
        <v>91</v>
      </c>
      <c r="B25" s="36" t="n">
        <v>35</v>
      </c>
      <c r="C25" s="33" t="s">
        <v>87</v>
      </c>
      <c r="D25" s="34" t="s">
        <v>92</v>
      </c>
    </row>
    <row r="26" customFormat="false" ht="15" hidden="false" customHeight="true" outlineLevel="0" collapsed="false">
      <c r="A26" s="6" t="s">
        <v>93</v>
      </c>
      <c r="B26" s="44" t="n">
        <v>53000</v>
      </c>
      <c r="C26" s="33" t="s">
        <v>94</v>
      </c>
      <c r="D26" s="34" t="s">
        <v>95</v>
      </c>
    </row>
    <row r="27" customFormat="false" ht="15" hidden="false" customHeight="true" outlineLevel="0" collapsed="false">
      <c r="A27" s="6" t="s">
        <v>96</v>
      </c>
      <c r="B27" s="44" t="n">
        <v>85000</v>
      </c>
      <c r="C27" s="33" t="s">
        <v>94</v>
      </c>
      <c r="D27" s="34" t="s">
        <v>97</v>
      </c>
    </row>
    <row r="28" customFormat="false" ht="15" hidden="false" customHeight="true" outlineLevel="0" collapsed="false">
      <c r="A28" s="6" t="s">
        <v>98</v>
      </c>
      <c r="B28" s="38" t="n">
        <v>0.25</v>
      </c>
      <c r="C28" s="33" t="s">
        <v>56</v>
      </c>
      <c r="D28" s="34" t="s">
        <v>99</v>
      </c>
    </row>
    <row r="29" customFormat="false" ht="15" hidden="false" customHeight="true" outlineLevel="0" collapsed="false">
      <c r="A29" s="6" t="s">
        <v>100</v>
      </c>
      <c r="B29" s="38" t="n">
        <v>0.32</v>
      </c>
      <c r="C29" s="33" t="s">
        <v>56</v>
      </c>
      <c r="D29" s="34" t="s">
        <v>101</v>
      </c>
      <c r="E29" s="35" t="n">
        <v>0.28</v>
      </c>
      <c r="F29" s="35" t="n">
        <v>0.36</v>
      </c>
    </row>
    <row r="30" customFormat="false" ht="15" hidden="false" customHeight="true" outlineLevel="0" collapsed="false">
      <c r="A30" s="6" t="s">
        <v>102</v>
      </c>
      <c r="B30" s="38" t="n">
        <v>0.04</v>
      </c>
      <c r="C30" s="33" t="s">
        <v>56</v>
      </c>
      <c r="D30" s="34" t="s">
        <v>103</v>
      </c>
      <c r="E30" s="35" t="n">
        <v>0.02</v>
      </c>
      <c r="F30" s="35" t="n">
        <v>0.06</v>
      </c>
    </row>
    <row r="31" customFormat="false" ht="15" hidden="false" customHeight="true" outlineLevel="0" collapsed="false">
      <c r="A31" s="6" t="s">
        <v>104</v>
      </c>
      <c r="B31" s="39" t="n">
        <v>1.5</v>
      </c>
      <c r="C31" s="33" t="s">
        <v>105</v>
      </c>
      <c r="D31" s="34" t="s">
        <v>106</v>
      </c>
      <c r="E31" s="40" t="n">
        <v>1.2</v>
      </c>
      <c r="F31" s="40" t="n">
        <v>1.8</v>
      </c>
    </row>
    <row r="32" customFormat="false" ht="15" hidden="false" customHeight="true" outlineLevel="0" collapsed="false">
      <c r="A32" s="6" t="s">
        <v>107</v>
      </c>
      <c r="B32" s="39" t="n">
        <v>1.7</v>
      </c>
      <c r="C32" s="33" t="s">
        <v>105</v>
      </c>
      <c r="D32" s="34" t="s">
        <v>108</v>
      </c>
      <c r="E32" s="40" t="n">
        <v>1.4</v>
      </c>
      <c r="F32" s="40" t="n">
        <v>2</v>
      </c>
    </row>
    <row r="33" customFormat="false" ht="15" hidden="false" customHeight="true" outlineLevel="0" collapsed="false">
      <c r="A33" s="6" t="s">
        <v>109</v>
      </c>
      <c r="B33" s="45" t="n">
        <v>5</v>
      </c>
      <c r="C33" s="33" t="s">
        <v>110</v>
      </c>
      <c r="D33" s="34" t="s">
        <v>111</v>
      </c>
    </row>
    <row r="34" customFormat="false" ht="15" hidden="false" customHeight="true" outlineLevel="0" collapsed="false">
      <c r="A34" s="6" t="s">
        <v>112</v>
      </c>
      <c r="B34" s="45" t="n">
        <v>20.6</v>
      </c>
      <c r="C34" s="33" t="s">
        <v>110</v>
      </c>
      <c r="D34" s="34" t="s">
        <v>113</v>
      </c>
    </row>
    <row r="35" customFormat="false" ht="15" hidden="false" customHeight="true" outlineLevel="0" collapsed="false">
      <c r="A35" s="6" t="s">
        <v>114</v>
      </c>
      <c r="B35" s="46" t="n">
        <v>650</v>
      </c>
      <c r="C35" s="33" t="s">
        <v>115</v>
      </c>
      <c r="D35" s="34" t="s">
        <v>116</v>
      </c>
    </row>
    <row r="37" customFormat="false" ht="15" hidden="false" customHeight="true" outlineLevel="0" collapsed="false">
      <c r="A37" s="16" t="s">
        <v>117</v>
      </c>
      <c r="B37" s="17"/>
      <c r="C37" s="17"/>
      <c r="D37" s="17"/>
      <c r="E37" s="17"/>
      <c r="F37" s="17"/>
    </row>
    <row r="38" customFormat="false" ht="15" hidden="false" customHeight="true" outlineLevel="0" collapsed="false">
      <c r="A38" s="6" t="s">
        <v>118</v>
      </c>
      <c r="B38" s="47" t="n">
        <v>35</v>
      </c>
      <c r="C38" s="33" t="s">
        <v>119</v>
      </c>
      <c r="D38" s="34" t="s">
        <v>120</v>
      </c>
      <c r="E38" s="22" t="n">
        <v>25</v>
      </c>
      <c r="F38" s="22" t="n">
        <v>45</v>
      </c>
    </row>
    <row r="39" customFormat="false" ht="15" hidden="false" customHeight="true" outlineLevel="0" collapsed="false">
      <c r="A39" s="6" t="s">
        <v>121</v>
      </c>
      <c r="B39" s="48" t="n">
        <v>0.3</v>
      </c>
      <c r="C39" s="33" t="s">
        <v>119</v>
      </c>
      <c r="D39" s="34" t="s">
        <v>122</v>
      </c>
      <c r="E39" s="22" t="n">
        <v>0.1</v>
      </c>
      <c r="F39" s="22" t="n">
        <v>0.6</v>
      </c>
    </row>
    <row r="40" customFormat="false" ht="15" hidden="false" customHeight="true" outlineLevel="0" collapsed="false">
      <c r="A40" s="6" t="s">
        <v>123</v>
      </c>
      <c r="B40" s="47" t="n">
        <v>5</v>
      </c>
      <c r="C40" s="33" t="s">
        <v>119</v>
      </c>
      <c r="D40" s="34" t="s">
        <v>124</v>
      </c>
      <c r="E40" s="22" t="n">
        <v>3</v>
      </c>
      <c r="F40" s="22" t="n">
        <v>7</v>
      </c>
    </row>
    <row r="41" customFormat="false" ht="15" hidden="false" customHeight="true" outlineLevel="0" collapsed="false">
      <c r="A41" s="6" t="s">
        <v>125</v>
      </c>
      <c r="B41" s="47" t="n">
        <v>40</v>
      </c>
      <c r="C41" s="33" t="s">
        <v>119</v>
      </c>
      <c r="D41" s="34" t="s">
        <v>126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0" min="2" style="1" width="13"/>
  </cols>
  <sheetData>
    <row r="1" customFormat="false" ht="19.5" hidden="false" customHeight="true" outlineLevel="0" collapsed="false">
      <c r="A1" s="49" t="s">
        <v>127</v>
      </c>
    </row>
    <row r="2" customFormat="false" ht="15" hidden="false" customHeight="true" outlineLevel="0" collapsed="false">
      <c r="A2" s="4" t="s">
        <v>128</v>
      </c>
      <c r="B2" s="4"/>
      <c r="C2" s="4"/>
      <c r="D2" s="4"/>
      <c r="E2" s="4"/>
      <c r="F2" s="4"/>
      <c r="G2" s="4"/>
      <c r="H2" s="4"/>
    </row>
    <row r="4" customFormat="false" ht="15" hidden="false" customHeight="true" outlineLevel="0" collapsed="false">
      <c r="A4" s="19" t="s">
        <v>129</v>
      </c>
      <c r="B4" s="19" t="s">
        <v>130</v>
      </c>
      <c r="C4" s="19" t="s">
        <v>6</v>
      </c>
      <c r="D4" s="19" t="s">
        <v>131</v>
      </c>
      <c r="E4" s="19" t="s">
        <v>132</v>
      </c>
      <c r="F4" s="19" t="s">
        <v>133</v>
      </c>
    </row>
    <row r="5" customFormat="false" ht="15" hidden="false" customHeight="true" outlineLevel="0" collapsed="false">
      <c r="A5" s="8" t="s">
        <v>134</v>
      </c>
      <c r="B5" s="50" t="n">
        <v>0.001</v>
      </c>
      <c r="C5" s="50" t="n">
        <v>0.003</v>
      </c>
      <c r="D5" s="50" t="n">
        <v>0.006</v>
      </c>
      <c r="E5" s="50" t="n">
        <v>0.008</v>
      </c>
      <c r="F5" s="51" t="n">
        <f aca="false">CHOOSE(Dashboard!$C$8,B5,C5,D5,E5)</f>
        <v>0.003</v>
      </c>
    </row>
    <row r="6" customFormat="false" ht="15" hidden="false" customHeight="true" outlineLevel="0" collapsed="false">
      <c r="A6" s="8" t="s">
        <v>135</v>
      </c>
      <c r="B6" s="22" t="n">
        <v>82</v>
      </c>
      <c r="C6" s="22" t="n">
        <v>239</v>
      </c>
      <c r="D6" s="22" t="n">
        <v>490</v>
      </c>
      <c r="E6" s="22" t="n">
        <v>712</v>
      </c>
    </row>
    <row r="7" customFormat="false" ht="15" hidden="false" customHeight="true" outlineLevel="0" collapsed="false">
      <c r="A7" s="52" t="s">
        <v>136</v>
      </c>
      <c r="F7" s="53" t="n">
        <f aca="false">CHOOSE(Dashboard!$C$8,B6,C6,D6,E6)</f>
        <v>239</v>
      </c>
    </row>
    <row r="9" customFormat="false" ht="15" hidden="false" customHeight="true" outlineLevel="0" collapsed="false">
      <c r="A9" s="8" t="s">
        <v>137</v>
      </c>
      <c r="B9" s="35" t="n">
        <v>0.2</v>
      </c>
      <c r="C9" s="35" t="n">
        <v>0.32</v>
      </c>
      <c r="D9" s="35" t="n">
        <v>0.4</v>
      </c>
      <c r="E9" s="35" t="n">
        <v>0.45</v>
      </c>
      <c r="F9" s="51" t="n">
        <f aca="false">CHOOSE(Dashboard!$C$8,B9,C9,D9,E9)</f>
        <v>0.32</v>
      </c>
    </row>
    <row r="11" customFormat="false" ht="60" hidden="false" customHeight="true" outlineLevel="0" collapsed="false">
      <c r="A11" s="8" t="s">
        <v>138</v>
      </c>
      <c r="B11" s="34" t="s">
        <v>139</v>
      </c>
      <c r="C11" s="34" t="s">
        <v>140</v>
      </c>
      <c r="D11" s="34" t="s">
        <v>141</v>
      </c>
      <c r="E11" s="34" t="s">
        <v>142</v>
      </c>
    </row>
    <row r="13" customFormat="false" ht="15" hidden="false" customHeight="true" outlineLevel="0" collapsed="false">
      <c r="A13" s="8" t="s">
        <v>143</v>
      </c>
      <c r="B13" s="54" t="n">
        <f aca="false">B6-Audit_Trail!$C$4</f>
        <v>-375.418</v>
      </c>
      <c r="C13" s="54" t="n">
        <f aca="false">C6-Audit_Trail!$C$4</f>
        <v>-218.418</v>
      </c>
      <c r="D13" s="54" t="n">
        <f aca="false">D6-Audit_Trail!$C$4</f>
        <v>32.582</v>
      </c>
      <c r="E13" s="54" t="n">
        <f aca="false">E6-Audit_Trail!$C$4</f>
        <v>254.582</v>
      </c>
    </row>
    <row r="14" customFormat="false" ht="15" hidden="false" customHeight="true" outlineLevel="0" collapsed="false">
      <c r="A14" s="8" t="s">
        <v>144</v>
      </c>
      <c r="B14" s="55" t="n">
        <f aca="false">B13+pillar_total</f>
        <v>-335.418</v>
      </c>
      <c r="C14" s="55" t="n">
        <f aca="false">C13+pillar_total</f>
        <v>-178.418</v>
      </c>
      <c r="D14" s="55" t="n">
        <f aca="false">D13+pillar_total</f>
        <v>72.582</v>
      </c>
      <c r="E14" s="55" t="n">
        <f aca="false">E13+pillar_total</f>
        <v>294.582</v>
      </c>
    </row>
  </sheetData>
  <mergeCells count="1">
    <mergeCell ref="A2:H2"/>
  </mergeCells>
  <conditionalFormatting sqref="B13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C13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conditionalFormatting sqref="D13">
    <cfRule type="cellIs" priority="6" operator="lessThan" aboveAverage="0" equalAverage="0" bottom="0" percent="0" rank="0" text="" dxfId="0">
      <formula>0</formula>
    </cfRule>
    <cfRule type="cellIs" priority="7" operator="greaterThanOrEqual" aboveAverage="0" equalAverage="0" bottom="0" percent="0" rank="0" text="" dxfId="1">
      <formula>0</formula>
    </cfRule>
  </conditionalFormatting>
  <conditionalFormatting sqref="E13">
    <cfRule type="cellIs" priority="8" operator="lessThan" aboveAverage="0" equalAverage="0" bottom="0" percent="0" rank="0" text="" dxfId="0">
      <formula>0</formula>
    </cfRule>
    <cfRule type="cellIs" priority="9" operator="greaterThanOrEqual" aboveAverage="0" equalAverage="0" bottom="0" percent="0" rank="0" text="" dxfId="1">
      <formula>0</formula>
    </cfRule>
  </conditionalFormatting>
  <conditionalFormatting sqref="B14">
    <cfRule type="cellIs" priority="10" operator="lessThan" aboveAverage="0" equalAverage="0" bottom="0" percent="0" rank="0" text="" dxfId="0">
      <formula>0</formula>
    </cfRule>
    <cfRule type="cellIs" priority="11" operator="greaterThanOrEqual" aboveAverage="0" equalAverage="0" bottom="0" percent="0" rank="0" text="" dxfId="1">
      <formula>0</formula>
    </cfRule>
  </conditionalFormatting>
  <conditionalFormatting sqref="C14">
    <cfRule type="cellIs" priority="12" operator="lessThan" aboveAverage="0" equalAverage="0" bottom="0" percent="0" rank="0" text="" dxfId="0">
      <formula>0</formula>
    </cfRule>
    <cfRule type="cellIs" priority="13" operator="greaterThanOrEqual" aboveAverage="0" equalAverage="0" bottom="0" percent="0" rank="0" text="" dxfId="1">
      <formula>0</formula>
    </cfRule>
  </conditionalFormatting>
  <conditionalFormatting sqref="D14">
    <cfRule type="cellIs" priority="14" operator="lessThan" aboveAverage="0" equalAverage="0" bottom="0" percent="0" rank="0" text="" dxfId="0">
      <formula>0</formula>
    </cfRule>
    <cfRule type="cellIs" priority="15" operator="greaterThanOrEqual" aboveAverage="0" equalAverage="0" bottom="0" percent="0" rank="0" text="" dxfId="1">
      <formula>0</formula>
    </cfRule>
  </conditionalFormatting>
  <conditionalFormatting sqref="E14">
    <cfRule type="cellIs" priority="16" operator="lessThan" aboveAverage="0" equalAverage="0" bottom="0" percent="0" rank="0" text="" dxfId="0">
      <formula>0</formula>
    </cfRule>
    <cfRule type="cellIs" priority="17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50"/>
  </cols>
  <sheetData>
    <row r="1" customFormat="false" ht="19.5" hidden="false" customHeight="true" outlineLevel="0" collapsed="false">
      <c r="B1" s="31" t="s">
        <v>145</v>
      </c>
      <c r="C1" s="31"/>
      <c r="D1" s="31"/>
      <c r="E1" s="31"/>
      <c r="F1" s="31"/>
    </row>
    <row r="2" customFormat="false" ht="15" hidden="false" customHeight="true" outlineLevel="0" collapsed="false">
      <c r="B2" s="4" t="s">
        <v>146</v>
      </c>
      <c r="C2" s="4"/>
      <c r="D2" s="4"/>
      <c r="E2" s="4"/>
      <c r="F2" s="4"/>
    </row>
    <row r="3" customFormat="false" ht="15" hidden="false" customHeight="true" outlineLevel="0" collapsed="false">
      <c r="B3" s="16" t="s">
        <v>147</v>
      </c>
      <c r="C3" s="17"/>
      <c r="D3" s="17"/>
      <c r="E3" s="17"/>
      <c r="F3" s="17"/>
    </row>
    <row r="4" customFormat="false" ht="15" hidden="false" customHeight="true" outlineLevel="0" collapsed="false">
      <c r="B4" s="8" t="s">
        <v>148</v>
      </c>
      <c r="C4" s="56" t="n">
        <f aca="false">SUM(C5:C10)</f>
        <v>457.418</v>
      </c>
      <c r="D4" s="57" t="n">
        <v>461</v>
      </c>
      <c r="E4" s="29" t="n">
        <f aca="false">ABS(C4-D4)/D4</f>
        <v>0.0077700650759219</v>
      </c>
      <c r="F4" s="58" t="str">
        <f aca="false">IF(E4&lt;=0.05,"OK","CHECK")</f>
        <v>OK</v>
      </c>
    </row>
    <row r="5" customFormat="false" ht="15" hidden="false" customHeight="true" outlineLevel="0" collapsed="false">
      <c r="B5" s="8" t="s">
        <v>25</v>
      </c>
      <c r="C5" s="59" t="n">
        <f aca="false">C1_Subscription_Flow!J14</f>
        <v>137.25068</v>
      </c>
      <c r="D5" s="57" t="n">
        <v>139</v>
      </c>
      <c r="E5" s="29" t="n">
        <f aca="false">ABS(C5-D5)/D5</f>
        <v>0.0125850359712229</v>
      </c>
      <c r="F5" s="58" t="str">
        <f aca="false">IF(E5&lt;=0.05,"OK","CHECK")</f>
        <v>OK</v>
      </c>
    </row>
    <row r="6" customFormat="false" ht="15" hidden="false" customHeight="true" outlineLevel="0" collapsed="false">
      <c r="B6" s="8" t="s">
        <v>27</v>
      </c>
      <c r="C6" s="59" t="n">
        <f aca="false">C2_Cloud!J7</f>
        <v>94.59</v>
      </c>
      <c r="D6" s="57" t="n">
        <v>95</v>
      </c>
      <c r="E6" s="29" t="n">
        <f aca="false">ABS(C6-D6)/D6</f>
        <v>0.00431578947368418</v>
      </c>
      <c r="F6" s="58" t="str">
        <f aca="false">IF(E6&lt;=0.05,"OK","CHECK")</f>
        <v>OK</v>
      </c>
    </row>
    <row r="7" customFormat="false" ht="15" hidden="false" customHeight="true" outlineLevel="0" collapsed="false">
      <c r="B7" s="8" t="s">
        <v>29</v>
      </c>
      <c r="C7" s="59" t="n">
        <f aca="false">C3_Productivity_Rent!J7</f>
        <v>104.69</v>
      </c>
      <c r="D7" s="57" t="n">
        <v>105</v>
      </c>
      <c r="E7" s="29" t="n">
        <f aca="false">ABS(C7-D7)/D7</f>
        <v>0.00295238095238097</v>
      </c>
      <c r="F7" s="58" t="str">
        <f aca="false">IF(E7&lt;=0.05,"OK","CHECK")</f>
        <v>OK</v>
      </c>
    </row>
    <row r="8" customFormat="false" ht="15" hidden="false" customHeight="true" outlineLevel="0" collapsed="false">
      <c r="B8" s="8" t="s">
        <v>31</v>
      </c>
      <c r="C8" s="59" t="n">
        <f aca="false">C4_Displaced_Wage!B20</f>
        <v>44.43732</v>
      </c>
      <c r="D8" s="57" t="n">
        <v>45</v>
      </c>
      <c r="E8" s="29" t="n">
        <f aca="false">ABS(C8-D8)/D8</f>
        <v>0.012504</v>
      </c>
      <c r="F8" s="58" t="str">
        <f aca="false">IF(E8&lt;=0.05,"OK","CHECK")</f>
        <v>OK</v>
      </c>
    </row>
    <row r="9" customFormat="false" ht="15" hidden="false" customHeight="true" outlineLevel="0" collapsed="false">
      <c r="B9" s="8" t="s">
        <v>33</v>
      </c>
      <c r="C9" s="59" t="n">
        <f aca="false">C5_HMRC!J11</f>
        <v>17.45</v>
      </c>
      <c r="D9" s="57" t="n">
        <v>18</v>
      </c>
      <c r="E9" s="29" t="n">
        <f aca="false">ABS(C9-D9)/D9</f>
        <v>0.0305555555555556</v>
      </c>
      <c r="F9" s="58" t="str">
        <f aca="false">IF(E9&lt;=0.05,"OK","CHECK")</f>
        <v>OK</v>
      </c>
    </row>
    <row r="10" customFormat="false" ht="15" hidden="false" customHeight="true" outlineLevel="0" collapsed="false">
      <c r="B10" s="8" t="s">
        <v>35</v>
      </c>
      <c r="C10" s="59" t="n">
        <f aca="false">C6_Forgone_Frontier!B25</f>
        <v>59</v>
      </c>
      <c r="D10" s="57" t="n">
        <v>59</v>
      </c>
      <c r="E10" s="29" t="n">
        <f aca="false">ABS(C10-D10)/D10</f>
        <v>0</v>
      </c>
      <c r="F10" s="58" t="str">
        <f aca="false">IF(E10&lt;=0.05,"OK","CHECK")</f>
        <v>OK</v>
      </c>
    </row>
    <row r="12" customFormat="false" ht="15" hidden="false" customHeight="true" outlineLevel="0" collapsed="false">
      <c r="B12" s="16" t="s">
        <v>149</v>
      </c>
      <c r="C12" s="17"/>
      <c r="D12" s="17"/>
      <c r="E12" s="17"/>
      <c r="F12" s="17"/>
    </row>
    <row r="13" customFormat="false" ht="15" hidden="false" customHeight="true" outlineLevel="0" collapsed="false">
      <c r="B13" s="1" t="s">
        <v>150</v>
      </c>
      <c r="C13" s="60" t="n">
        <v>0.756</v>
      </c>
      <c r="D13" s="60" t="n">
        <v>0.76</v>
      </c>
      <c r="E13" s="61" t="n">
        <f aca="false">ABS(C13-D13)/D13</f>
        <v>0.00526315789473685</v>
      </c>
      <c r="F13" s="62" t="str">
        <f aca="false">IF(E13&lt;=0.05,"OK","CHECK")</f>
        <v>OK</v>
      </c>
    </row>
    <row r="14" customFormat="false" ht="15" hidden="false" customHeight="true" outlineLevel="0" collapsed="false">
      <c r="B14" s="1" t="s">
        <v>151</v>
      </c>
      <c r="C14" s="60" t="n">
        <v>0.837</v>
      </c>
      <c r="D14" s="60" t="n">
        <v>0.83</v>
      </c>
      <c r="E14" s="61" t="n">
        <f aca="false">ABS(C14-D14)/D14</f>
        <v>0.00843373493975904</v>
      </c>
      <c r="F14" s="62" t="str">
        <f aca="false">IF(E14&lt;=0.05,"OK","CHECK")</f>
        <v>OK</v>
      </c>
    </row>
    <row r="15" customFormat="false" ht="15" hidden="false" customHeight="true" outlineLevel="0" collapsed="false">
      <c r="B15" s="1" t="s">
        <v>152</v>
      </c>
      <c r="C15" s="60" t="n">
        <v>0.88</v>
      </c>
      <c r="D15" s="60" t="n">
        <v>0.87</v>
      </c>
      <c r="E15" s="61" t="n">
        <f aca="false">ABS(C15-D15)/D15</f>
        <v>0.0114942528735632</v>
      </c>
      <c r="F15" s="62" t="str">
        <f aca="false">IF(E15&lt;=0.05,"OK","CHECK")</f>
        <v>OK</v>
      </c>
    </row>
    <row r="17" customFormat="false" ht="15" hidden="false" customHeight="true" outlineLevel="0" collapsed="false">
      <c r="B17" s="16" t="s">
        <v>153</v>
      </c>
      <c r="C17" s="17"/>
      <c r="D17" s="17"/>
      <c r="E17" s="17"/>
      <c r="F17" s="17"/>
    </row>
    <row r="18" customFormat="false" ht="15" hidden="false" customHeight="true" outlineLevel="0" collapsed="false">
      <c r="B18" s="1" t="s">
        <v>79</v>
      </c>
      <c r="C18" s="63" t="n">
        <f aca="false">tau_d_star</f>
        <v>0.173652694610778</v>
      </c>
      <c r="D18" s="64" t="n">
        <v>0.174</v>
      </c>
      <c r="E18" s="61" t="n">
        <f aca="false">ABS(C18-D18)/D18</f>
        <v>0.00199600798403166</v>
      </c>
      <c r="F18" s="62" t="str">
        <f aca="false">IF(E18&lt;=0.05,"OK","CHECK")</f>
        <v>OK</v>
      </c>
    </row>
    <row r="19" customFormat="false" ht="15" hidden="false" customHeight="true" outlineLevel="0" collapsed="false">
      <c r="B19" s="1" t="s">
        <v>81</v>
      </c>
      <c r="C19" s="63" t="n">
        <f aca="false">delta_at_optimum</f>
        <v>0.71</v>
      </c>
      <c r="D19" s="64" t="n">
        <v>0.71</v>
      </c>
      <c r="E19" s="61" t="n">
        <f aca="false">ABS(C19-D19)/D19</f>
        <v>0</v>
      </c>
      <c r="F19" s="62" t="str">
        <f aca="false">IF(E19&lt;=0.05,"OK","CHECK")</f>
        <v>OK</v>
      </c>
    </row>
    <row r="20" customFormat="false" ht="15" hidden="false" customHeight="true" outlineLevel="0" collapsed="false">
      <c r="B20" s="1" t="s">
        <v>154</v>
      </c>
      <c r="C20" s="63" t="n">
        <f aca="false">dst_capture_rate</f>
        <v>0.0428053892215569</v>
      </c>
      <c r="D20" s="64" t="n">
        <v>0.043</v>
      </c>
      <c r="E20" s="61" t="n">
        <f aca="false">ABS(C20-D20)/D20</f>
        <v>0.00452583205681627</v>
      </c>
      <c r="F20" s="62" t="str">
        <f aca="false">IF(E20&lt;=0.05,"OK","CHECK")</f>
        <v>OK</v>
      </c>
    </row>
    <row r="22" customFormat="false" ht="15" hidden="false" customHeight="true" outlineLevel="0" collapsed="false">
      <c r="B22" s="16" t="s">
        <v>39</v>
      </c>
      <c r="C22" s="17"/>
      <c r="D22" s="17"/>
      <c r="E22" s="17"/>
      <c r="F22" s="17"/>
    </row>
    <row r="23" customFormat="false" ht="15" hidden="false" customHeight="true" outlineLevel="0" collapsed="false">
      <c r="B23" s="1" t="s">
        <v>155</v>
      </c>
      <c r="C23" s="65" t="n">
        <v>12</v>
      </c>
    </row>
    <row r="24" customFormat="false" ht="15" hidden="false" customHeight="true" outlineLevel="0" collapsed="false">
      <c r="B24" s="1" t="s">
        <v>156</v>
      </c>
      <c r="C24" s="65" t="n">
        <v>0</v>
      </c>
    </row>
    <row r="25" customFormat="false" ht="15" hidden="false" customHeight="true" outlineLevel="0" collapsed="false">
      <c r="B25" s="1" t="s">
        <v>43</v>
      </c>
      <c r="C25" s="65" t="n">
        <v>0</v>
      </c>
    </row>
    <row r="26" customFormat="false" ht="15" hidden="false" customHeight="true" outlineLevel="0" collapsed="false">
      <c r="B26" s="1" t="s">
        <v>157</v>
      </c>
      <c r="C26" s="65" t="n">
        <v>3</v>
      </c>
    </row>
    <row r="28" customFormat="false" ht="15" hidden="false" customHeight="true" outlineLevel="0" collapsed="false">
      <c r="B28" s="11" t="s">
        <v>158</v>
      </c>
    </row>
    <row r="29" customFormat="false" ht="15" hidden="false" customHeight="true" outlineLevel="0" collapsed="false">
      <c r="B29" s="11" t="s">
        <v>159</v>
      </c>
    </row>
  </sheetData>
  <mergeCells count="2">
    <mergeCell ref="B1:F1"/>
    <mergeCell ref="B2:F2"/>
  </mergeCells>
  <conditionalFormatting sqref="F4:F10">
    <cfRule type="expression" priority="2" aboveAverage="0" equalAverage="0" bottom="0" percent="0" rank="0" text="" dxfId="2">
      <formula>$F4="OK"</formula>
    </cfRule>
    <cfRule type="expression" priority="3" aboveAverage="0" equalAverage="0" bottom="0" percent="0" rank="0" text="" dxfId="3">
      <formula>$F4="CHECK"</formula>
    </cfRule>
  </conditionalFormatting>
  <conditionalFormatting sqref="F13:F15">
    <cfRule type="expression" priority="4" aboveAverage="0" equalAverage="0" bottom="0" percent="0" rank="0" text="" dxfId="2">
      <formula>$F13="OK"</formula>
    </cfRule>
    <cfRule type="expression" priority="5" aboveAverage="0" equalAverage="0" bottom="0" percent="0" rank="0" text="" dxfId="3">
      <formula>$F13="CHECK"</formula>
    </cfRule>
  </conditionalFormatting>
  <conditionalFormatting sqref="F18:F20">
    <cfRule type="expression" priority="6" aboveAverage="0" equalAverage="0" bottom="0" percent="0" rank="0" text="" dxfId="2">
      <formula>$F18="OK"</formula>
    </cfRule>
    <cfRule type="expression" priority="7" aboveAverage="0" equalAverage="0" bottom="0" percent="0" rank="0" text="" dxfId="3">
      <formula>$F18="CHECK"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19.5" hidden="false" customHeight="true" outlineLevel="0" collapsed="false">
      <c r="A1" s="49" t="s">
        <v>160</v>
      </c>
    </row>
    <row r="2" customFormat="false" ht="15" hidden="false" customHeight="true" outlineLevel="0" collapsed="false">
      <c r="A2" s="4" t="s">
        <v>161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15" hidden="false" customHeight="true" outlineLevel="0" collapsed="false">
      <c r="B4" s="66" t="n">
        <v>2023</v>
      </c>
      <c r="C4" s="66" t="n">
        <v>2024</v>
      </c>
      <c r="D4" s="66" t="n">
        <v>2025</v>
      </c>
      <c r="E4" s="66" t="n">
        <v>2026</v>
      </c>
      <c r="F4" s="66" t="n">
        <v>2027</v>
      </c>
      <c r="G4" s="66" t="n">
        <v>2028</v>
      </c>
      <c r="H4" s="66" t="n">
        <v>2029</v>
      </c>
      <c r="I4" s="66" t="n">
        <v>2030</v>
      </c>
      <c r="J4" s="19" t="s">
        <v>162</v>
      </c>
    </row>
    <row r="6" customFormat="false" ht="15" hidden="false" customHeight="true" outlineLevel="0" collapsed="false">
      <c r="A6" s="16" t="s">
        <v>163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true" outlineLevel="0" collapsed="false">
      <c r="A7" s="1" t="s">
        <v>164</v>
      </c>
      <c r="B7" s="67" t="n">
        <v>0.85</v>
      </c>
      <c r="C7" s="67" t="n">
        <v>1.95</v>
      </c>
      <c r="D7" s="67" t="n">
        <v>3.5</v>
      </c>
      <c r="E7" s="67" t="n">
        <v>5.8</v>
      </c>
      <c r="F7" s="67" t="n">
        <v>8.4</v>
      </c>
    </row>
    <row r="8" customFormat="false" ht="15" hidden="false" customHeight="true" outlineLevel="0" collapsed="false">
      <c r="A8" s="1" t="s">
        <v>165</v>
      </c>
      <c r="B8" s="67" t="n">
        <v>0.4</v>
      </c>
      <c r="C8" s="67" t="n">
        <v>0.95</v>
      </c>
      <c r="D8" s="67" t="n">
        <v>1.85</v>
      </c>
      <c r="E8" s="67" t="n">
        <v>3.2</v>
      </c>
      <c r="F8" s="67" t="n">
        <v>4.7</v>
      </c>
    </row>
    <row r="9" customFormat="false" ht="15" hidden="false" customHeight="true" outlineLevel="0" collapsed="false">
      <c r="A9" s="1" t="s">
        <v>166</v>
      </c>
      <c r="B9" s="67" t="n">
        <v>0.2</v>
      </c>
      <c r="C9" s="67" t="n">
        <v>0.55</v>
      </c>
      <c r="D9" s="67" t="n">
        <v>1.05</v>
      </c>
      <c r="E9" s="67" t="n">
        <v>1.85</v>
      </c>
      <c r="F9" s="67" t="n">
        <v>2.8</v>
      </c>
    </row>
    <row r="10" customFormat="false" ht="15" hidden="false" customHeight="true" outlineLevel="0" collapsed="false">
      <c r="A10" s="1" t="s">
        <v>167</v>
      </c>
      <c r="B10" s="67" t="n">
        <v>0.18</v>
      </c>
      <c r="C10" s="67" t="n">
        <v>0.45</v>
      </c>
      <c r="D10" s="67" t="n">
        <v>0.85</v>
      </c>
      <c r="E10" s="67" t="n">
        <v>1.4</v>
      </c>
      <c r="F10" s="67" t="n">
        <v>2.1</v>
      </c>
    </row>
    <row r="11" customFormat="false" ht="15" hidden="false" customHeight="true" outlineLevel="0" collapsed="false">
      <c r="A11" s="1" t="s">
        <v>168</v>
      </c>
      <c r="B11" s="67" t="n">
        <v>0.12</v>
      </c>
      <c r="C11" s="67" t="n">
        <v>0.25</v>
      </c>
      <c r="D11" s="67" t="n">
        <v>0.5</v>
      </c>
      <c r="E11" s="67" t="n">
        <v>0.8</v>
      </c>
      <c r="F11" s="67" t="n">
        <v>1.2</v>
      </c>
    </row>
    <row r="12" customFormat="false" ht="15" hidden="false" customHeight="true" outlineLevel="0" collapsed="false">
      <c r="A12" s="1" t="s">
        <v>169</v>
      </c>
      <c r="B12" s="67" t="n">
        <v>0.06</v>
      </c>
      <c r="C12" s="67" t="n">
        <v>0.1</v>
      </c>
      <c r="D12" s="67" t="n">
        <v>0.18</v>
      </c>
      <c r="E12" s="67" t="n">
        <v>0.3</v>
      </c>
      <c r="F12" s="67" t="n">
        <v>0.45</v>
      </c>
    </row>
    <row r="13" customFormat="false" ht="15" hidden="false" customHeight="true" outlineLevel="0" collapsed="false">
      <c r="A13" s="1" t="s">
        <v>170</v>
      </c>
      <c r="B13" s="67" t="n">
        <v>0.05</v>
      </c>
      <c r="C13" s="67" t="n">
        <v>0.05</v>
      </c>
      <c r="D13" s="67" t="n">
        <v>0.06</v>
      </c>
      <c r="E13" s="67" t="n">
        <v>-0.05</v>
      </c>
      <c r="F13" s="67" t="n">
        <v>-0.23</v>
      </c>
    </row>
    <row r="14" customFormat="false" ht="15" hidden="false" customHeight="true" outlineLevel="0" collapsed="false">
      <c r="A14" s="52" t="s">
        <v>171</v>
      </c>
      <c r="B14" s="68" t="n">
        <f aca="false">SUM(B7:B13)</f>
        <v>1.86</v>
      </c>
      <c r="C14" s="68" t="n">
        <f aca="false">SUM(C7:C13)</f>
        <v>4.3</v>
      </c>
      <c r="D14" s="68" t="n">
        <f aca="false">SUM(D7:D13)</f>
        <v>7.99</v>
      </c>
      <c r="E14" s="68" t="n">
        <f aca="false">SUM(E7:E13)</f>
        <v>13.3</v>
      </c>
      <c r="F14" s="68" t="n">
        <f aca="false">SUM(F7:F13)</f>
        <v>19.42</v>
      </c>
      <c r="G14" s="68" t="n">
        <f aca="false">F14*B17</f>
        <v>25.246</v>
      </c>
      <c r="H14" s="68" t="n">
        <f aca="false">G14*B18</f>
        <v>30.2952</v>
      </c>
      <c r="I14" s="68" t="n">
        <f aca="false">H14*B19</f>
        <v>34.83948</v>
      </c>
      <c r="J14" s="68" t="n">
        <f aca="false">SUM(B14:I14)</f>
        <v>137.25068</v>
      </c>
    </row>
    <row r="15" customFormat="false" ht="15" hidden="false" customHeight="true" outlineLevel="0" collapsed="false">
      <c r="A15" s="11" t="s">
        <v>172</v>
      </c>
      <c r="C15" s="69" t="n">
        <f aca="false">C14/B14-1</f>
        <v>1.31182795698925</v>
      </c>
      <c r="D15" s="69" t="n">
        <f aca="false">D14/C14-1</f>
        <v>0.858139534883721</v>
      </c>
      <c r="E15" s="69" t="n">
        <f aca="false">E14/D14-1</f>
        <v>0.664580725907384</v>
      </c>
      <c r="F15" s="69" t="n">
        <f aca="false">F14/E14-1</f>
        <v>0.46015037593985</v>
      </c>
      <c r="G15" s="69" t="n">
        <f aca="false">G14/F14-1</f>
        <v>0.3</v>
      </c>
      <c r="H15" s="69" t="n">
        <f aca="false">H14/G14-1</f>
        <v>0.2</v>
      </c>
      <c r="I15" s="69" t="n">
        <f aca="false">I14/H14-1</f>
        <v>0.15</v>
      </c>
    </row>
    <row r="16" customFormat="false" ht="15" hidden="false" customHeight="true" outlineLevel="0" collapsed="false">
      <c r="A16" s="16" t="s">
        <v>173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true" outlineLevel="0" collapsed="false">
      <c r="A17" s="8" t="s">
        <v>174</v>
      </c>
      <c r="B17" s="70" t="n">
        <v>1.3</v>
      </c>
    </row>
    <row r="18" customFormat="false" ht="15" hidden="false" customHeight="true" outlineLevel="0" collapsed="false">
      <c r="A18" s="8" t="s">
        <v>175</v>
      </c>
      <c r="B18" s="70" t="n">
        <v>1.2</v>
      </c>
    </row>
    <row r="19" customFormat="false" ht="15" hidden="false" customHeight="true" outlineLevel="0" collapsed="false">
      <c r="A19" s="8" t="s">
        <v>176</v>
      </c>
      <c r="B19" s="70" t="n">
        <v>1.15</v>
      </c>
    </row>
    <row r="21" customFormat="false" ht="15" hidden="false" customHeight="true" outlineLevel="0" collapsed="false">
      <c r="A21" s="16" t="s">
        <v>17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true" outlineLevel="0" collapsed="false">
      <c r="A22" s="8" t="s">
        <v>177</v>
      </c>
      <c r="B22" s="59" t="n">
        <f aca="false">J14</f>
        <v>137.25068</v>
      </c>
    </row>
    <row r="23" customFormat="false" ht="15" hidden="false" customHeight="true" outlineLevel="0" collapsed="false">
      <c r="A23" s="8" t="s">
        <v>178</v>
      </c>
      <c r="B23" s="57" t="n">
        <v>139</v>
      </c>
    </row>
    <row r="24" customFormat="false" ht="15" hidden="false" customHeight="true" outlineLevel="0" collapsed="false">
      <c r="A24" s="8" t="s">
        <v>179</v>
      </c>
      <c r="B24" s="29" t="n">
        <f aca="false">ABS(B22-B23)/B23</f>
        <v>0.0125850359712229</v>
      </c>
    </row>
    <row r="25" customFormat="false" ht="15" hidden="false" customHeight="true" outlineLevel="0" collapsed="false">
      <c r="A25" s="8" t="s">
        <v>24</v>
      </c>
      <c r="B25" s="71" t="str">
        <f aca="false">IF(B24&lt;=0.05,"OK","CHECK")</f>
        <v>OK</v>
      </c>
    </row>
  </sheetData>
  <mergeCells count="1">
    <mergeCell ref="A2:J2"/>
  </mergeCells>
  <conditionalFormatting sqref="B25">
    <cfRule type="expression" priority="2" aboveAverage="0" equalAverage="0" bottom="0" percent="0" rank="0" text="" dxfId="1">
      <formula>$B$25="OK"</formula>
    </cfRule>
    <cfRule type="expression" priority="3" aboveAverage="0" equalAverage="0" bottom="0" percent="0" rank="0" text="" dxfId="0">
      <formula>$B$25="CHECK"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19.5" hidden="false" customHeight="true" outlineLevel="0" collapsed="false">
      <c r="A1" s="49" t="s">
        <v>180</v>
      </c>
    </row>
    <row r="2" customFormat="false" ht="15" hidden="false" customHeight="true" outlineLevel="0" collapsed="false">
      <c r="A2" s="4" t="s">
        <v>181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15" hidden="false" customHeight="true" outlineLevel="0" collapsed="false">
      <c r="B4" s="66" t="n">
        <v>2023</v>
      </c>
      <c r="C4" s="66" t="n">
        <v>2024</v>
      </c>
      <c r="D4" s="66" t="n">
        <v>2025</v>
      </c>
      <c r="E4" s="66" t="n">
        <v>2026</v>
      </c>
      <c r="F4" s="66" t="n">
        <v>2027</v>
      </c>
      <c r="G4" s="66" t="n">
        <v>2028</v>
      </c>
      <c r="H4" s="66" t="n">
        <v>2029</v>
      </c>
      <c r="I4" s="66" t="n">
        <v>2030</v>
      </c>
      <c r="J4" s="19" t="s">
        <v>162</v>
      </c>
    </row>
    <row r="5" customFormat="false" ht="15" hidden="false" customHeight="true" outlineLevel="0" collapsed="false">
      <c r="A5" s="8" t="s">
        <v>182</v>
      </c>
      <c r="B5" s="67" t="n">
        <v>12</v>
      </c>
      <c r="C5" s="67" t="n">
        <v>14.5</v>
      </c>
      <c r="D5" s="67" t="n">
        <v>17.5</v>
      </c>
      <c r="E5" s="67" t="n">
        <v>21</v>
      </c>
      <c r="F5" s="67" t="n">
        <v>25</v>
      </c>
      <c r="G5" s="67" t="n">
        <v>29.5</v>
      </c>
      <c r="H5" s="67" t="n">
        <v>34.5</v>
      </c>
      <c r="I5" s="67" t="n">
        <v>40</v>
      </c>
    </row>
    <row r="6" customFormat="false" ht="15" hidden="false" customHeight="true" outlineLevel="0" collapsed="false">
      <c r="A6" s="8" t="s">
        <v>183</v>
      </c>
      <c r="B6" s="50" t="n">
        <v>0.1</v>
      </c>
      <c r="C6" s="50" t="n">
        <v>0.19</v>
      </c>
      <c r="D6" s="50" t="n">
        <v>0.31</v>
      </c>
      <c r="E6" s="50" t="n">
        <v>0.45</v>
      </c>
      <c r="F6" s="50" t="n">
        <v>0.56</v>
      </c>
      <c r="G6" s="50" t="n">
        <v>0.59</v>
      </c>
      <c r="H6" s="50" t="n">
        <v>0.59</v>
      </c>
      <c r="I6" s="50" t="n">
        <v>0.6</v>
      </c>
    </row>
    <row r="7" customFormat="false" ht="15" hidden="false" customHeight="true" outlineLevel="0" collapsed="false">
      <c r="A7" s="52" t="s">
        <v>184</v>
      </c>
      <c r="B7" s="53" t="n">
        <f aca="false">B5*B6</f>
        <v>1.2</v>
      </c>
      <c r="C7" s="53" t="n">
        <f aca="false">C5*C6</f>
        <v>2.755</v>
      </c>
      <c r="D7" s="53" t="n">
        <f aca="false">D5*D6</f>
        <v>5.425</v>
      </c>
      <c r="E7" s="53" t="n">
        <f aca="false">E5*E6</f>
        <v>9.45</v>
      </c>
      <c r="F7" s="53" t="n">
        <f aca="false">F5*F6</f>
        <v>14</v>
      </c>
      <c r="G7" s="53" t="n">
        <f aca="false">G5*G6</f>
        <v>17.405</v>
      </c>
      <c r="H7" s="53" t="n">
        <f aca="false">H5*H6</f>
        <v>20.355</v>
      </c>
      <c r="I7" s="53" t="n">
        <f aca="false">I5*I6</f>
        <v>24</v>
      </c>
      <c r="J7" s="68" t="n">
        <f aca="false">SUM(B7:I7)</f>
        <v>94.59</v>
      </c>
    </row>
    <row r="8" customFormat="false" ht="15" hidden="false" customHeight="true" outlineLevel="0" collapsed="false">
      <c r="A8" s="11" t="s">
        <v>172</v>
      </c>
      <c r="C8" s="69" t="n">
        <f aca="false">C7/B7-1</f>
        <v>1.29583333333333</v>
      </c>
      <c r="D8" s="69" t="n">
        <f aca="false">D7/C7-1</f>
        <v>0.969147005444646</v>
      </c>
      <c r="E8" s="69" t="n">
        <f aca="false">E7/D7-1</f>
        <v>0.741935483870968</v>
      </c>
      <c r="F8" s="69" t="n">
        <f aca="false">F7/E7-1</f>
        <v>0.481481481481481</v>
      </c>
      <c r="G8" s="69" t="n">
        <f aca="false">G7/F7-1</f>
        <v>0.243214285714285</v>
      </c>
      <c r="H8" s="69" t="n">
        <f aca="false">H7/G7-1</f>
        <v>0.169491525423729</v>
      </c>
      <c r="I8" s="69" t="n">
        <f aca="false">I7/H7-1</f>
        <v>0.179071481208548</v>
      </c>
    </row>
    <row r="9" customFormat="false" ht="15" hidden="false" customHeight="true" outlineLevel="0" collapsed="false">
      <c r="A9" s="11" t="s">
        <v>185</v>
      </c>
      <c r="B9" s="72" t="n">
        <f aca="false">B7</f>
        <v>1.2</v>
      </c>
      <c r="C9" s="72" t="n">
        <f aca="false">B9+C7</f>
        <v>3.955</v>
      </c>
      <c r="D9" s="72" t="n">
        <f aca="false">C9+D7</f>
        <v>9.38</v>
      </c>
      <c r="E9" s="72" t="n">
        <f aca="false">D9+E7</f>
        <v>18.83</v>
      </c>
      <c r="F9" s="72" t="n">
        <f aca="false">E9+F7</f>
        <v>32.83</v>
      </c>
      <c r="G9" s="72" t="n">
        <f aca="false">F9+G7</f>
        <v>50.235</v>
      </c>
      <c r="H9" s="72" t="n">
        <f aca="false">G9+H7</f>
        <v>70.59</v>
      </c>
      <c r="I9" s="72" t="n">
        <f aca="false">H9+I7</f>
        <v>94.59</v>
      </c>
    </row>
    <row r="11" customFormat="false" ht="15" hidden="false" customHeight="true" outlineLevel="0" collapsed="false">
      <c r="A11" s="16" t="s">
        <v>186</v>
      </c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15" hidden="false" customHeight="true" outlineLevel="0" collapsed="false">
      <c r="A12" s="8" t="s">
        <v>177</v>
      </c>
      <c r="B12" s="59" t="n">
        <f aca="false">J7</f>
        <v>94.59</v>
      </c>
    </row>
    <row r="13" customFormat="false" ht="15" hidden="false" customHeight="true" outlineLevel="0" collapsed="false">
      <c r="A13" s="8" t="s">
        <v>178</v>
      </c>
      <c r="B13" s="57" t="n">
        <v>95</v>
      </c>
    </row>
    <row r="14" customFormat="false" ht="15" hidden="false" customHeight="true" outlineLevel="0" collapsed="false">
      <c r="A14" s="8" t="s">
        <v>179</v>
      </c>
      <c r="B14" s="29" t="n">
        <f aca="false">ABS(B12-B13)/B13</f>
        <v>0.00431578947368418</v>
      </c>
    </row>
    <row r="15" customFormat="false" ht="15" hidden="false" customHeight="true" outlineLevel="0" collapsed="false">
      <c r="A15" s="8" t="s">
        <v>24</v>
      </c>
      <c r="B15" s="71" t="str">
        <f aca="false">IF(B14&lt;=0.05,"OK","CHECK")</f>
        <v>OK</v>
      </c>
    </row>
  </sheetData>
  <mergeCells count="1">
    <mergeCell ref="A2:J2"/>
  </mergeCells>
  <conditionalFormatting sqref="B15">
    <cfRule type="expression" priority="2" aboveAverage="0" equalAverage="0" bottom="0" percent="0" rank="0" text="" dxfId="1">
      <formula>$B$15="OK"</formula>
    </cfRule>
    <cfRule type="expression" priority="3" aboveAverage="0" equalAverage="0" bottom="0" percent="0" rank="0" text="" dxfId="0">
      <formula>$B$15="CHECK"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19.5" hidden="false" customHeight="true" outlineLevel="0" collapsed="false">
      <c r="A1" s="49" t="s">
        <v>187</v>
      </c>
    </row>
    <row r="2" customFormat="false" ht="15" hidden="false" customHeight="true" outlineLevel="0" collapsed="false">
      <c r="A2" s="4" t="s">
        <v>188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15" hidden="false" customHeight="true" outlineLevel="0" collapsed="false">
      <c r="B4" s="66" t="n">
        <v>2023</v>
      </c>
      <c r="C4" s="66" t="n">
        <v>2024</v>
      </c>
      <c r="D4" s="66" t="n">
        <v>2025</v>
      </c>
      <c r="E4" s="66" t="n">
        <v>2026</v>
      </c>
      <c r="F4" s="66" t="n">
        <v>2027</v>
      </c>
      <c r="G4" s="66" t="n">
        <v>2028</v>
      </c>
      <c r="H4" s="66" t="n">
        <v>2029</v>
      </c>
      <c r="I4" s="66" t="n">
        <v>2030</v>
      </c>
      <c r="J4" s="19" t="s">
        <v>162</v>
      </c>
    </row>
    <row r="5" customFormat="false" ht="15" hidden="false" customHeight="true" outlineLevel="0" collapsed="false">
      <c r="A5" s="8" t="s">
        <v>189</v>
      </c>
      <c r="B5" s="67" t="n">
        <v>1</v>
      </c>
      <c r="C5" s="67" t="n">
        <v>7</v>
      </c>
      <c r="D5" s="67" t="n">
        <v>14</v>
      </c>
      <c r="E5" s="67" t="n">
        <v>22</v>
      </c>
      <c r="F5" s="67" t="n">
        <v>49</v>
      </c>
      <c r="G5" s="67" t="n">
        <v>80</v>
      </c>
      <c r="H5" s="67" t="n">
        <v>100</v>
      </c>
      <c r="I5" s="67" t="n">
        <v>119</v>
      </c>
    </row>
    <row r="6" customFormat="false" ht="15" hidden="false" customHeight="true" outlineLevel="0" collapsed="false">
      <c r="A6" s="8" t="s">
        <v>190</v>
      </c>
      <c r="B6" s="50" t="n">
        <v>0.05</v>
      </c>
      <c r="C6" s="50" t="n">
        <v>0.08</v>
      </c>
      <c r="D6" s="50" t="n">
        <v>0.12</v>
      </c>
      <c r="E6" s="50" t="n">
        <v>0.17</v>
      </c>
      <c r="F6" s="50" t="n">
        <v>0.22</v>
      </c>
      <c r="G6" s="50" t="n">
        <v>0.26</v>
      </c>
      <c r="H6" s="50" t="n">
        <v>0.29</v>
      </c>
      <c r="I6" s="50" t="n">
        <v>0.32</v>
      </c>
    </row>
    <row r="7" customFormat="false" ht="15" hidden="false" customHeight="true" outlineLevel="0" collapsed="false">
      <c r="A7" s="52" t="s">
        <v>191</v>
      </c>
      <c r="B7" s="53" t="n">
        <f aca="false">B5*B6</f>
        <v>0.05</v>
      </c>
      <c r="C7" s="53" t="n">
        <f aca="false">C5*C6</f>
        <v>0.56</v>
      </c>
      <c r="D7" s="53" t="n">
        <f aca="false">D5*D6</f>
        <v>1.68</v>
      </c>
      <c r="E7" s="53" t="n">
        <f aca="false">E5*E6</f>
        <v>3.74</v>
      </c>
      <c r="F7" s="53" t="n">
        <f aca="false">F5*F6</f>
        <v>10.78</v>
      </c>
      <c r="G7" s="53" t="n">
        <f aca="false">G5*G6</f>
        <v>20.8</v>
      </c>
      <c r="H7" s="53" t="n">
        <f aca="false">H5*H6</f>
        <v>29</v>
      </c>
      <c r="I7" s="53" t="n">
        <f aca="false">I5*I6</f>
        <v>38.08</v>
      </c>
      <c r="J7" s="68" t="n">
        <f aca="false">SUM(B7:I7)</f>
        <v>104.69</v>
      </c>
    </row>
    <row r="9" customFormat="false" ht="15" hidden="false" customHeight="true" outlineLevel="0" collapsed="false">
      <c r="A9" s="11" t="s">
        <v>185</v>
      </c>
      <c r="B9" s="72" t="n">
        <f aca="false">B7</f>
        <v>0.05</v>
      </c>
      <c r="C9" s="72" t="n">
        <f aca="false">B9+C7</f>
        <v>0.61</v>
      </c>
      <c r="D9" s="72" t="n">
        <f aca="false">C9+D7</f>
        <v>2.29</v>
      </c>
      <c r="E9" s="72" t="n">
        <f aca="false">D9+E7</f>
        <v>6.03</v>
      </c>
      <c r="F9" s="72" t="n">
        <f aca="false">E9+F7</f>
        <v>16.81</v>
      </c>
      <c r="G9" s="72" t="n">
        <f aca="false">F9+G7</f>
        <v>37.61</v>
      </c>
      <c r="H9" s="72" t="n">
        <f aca="false">G9+H7</f>
        <v>66.61</v>
      </c>
      <c r="I9" s="72" t="n">
        <f aca="false">H9+I7</f>
        <v>104.69</v>
      </c>
    </row>
    <row r="11" customFormat="false" ht="15" hidden="false" customHeight="true" outlineLevel="0" collapsed="false">
      <c r="A11" s="16" t="s">
        <v>186</v>
      </c>
      <c r="B11" s="17"/>
      <c r="C11" s="17"/>
      <c r="D11" s="17"/>
      <c r="E11" s="17"/>
      <c r="F11" s="17"/>
      <c r="G11" s="17"/>
      <c r="H11" s="17"/>
      <c r="I11" s="17"/>
      <c r="J11" s="17"/>
    </row>
    <row r="12" customFormat="false" ht="15" hidden="false" customHeight="true" outlineLevel="0" collapsed="false">
      <c r="A12" s="8" t="s">
        <v>177</v>
      </c>
      <c r="B12" s="59" t="n">
        <f aca="false">J7</f>
        <v>104.69</v>
      </c>
    </row>
    <row r="13" customFormat="false" ht="15" hidden="false" customHeight="true" outlineLevel="0" collapsed="false">
      <c r="A13" s="8" t="s">
        <v>178</v>
      </c>
      <c r="B13" s="57" t="n">
        <v>105</v>
      </c>
    </row>
    <row r="14" customFormat="false" ht="15" hidden="false" customHeight="true" outlineLevel="0" collapsed="false">
      <c r="A14" s="8" t="s">
        <v>179</v>
      </c>
      <c r="B14" s="29" t="n">
        <f aca="false">ABS(B12-B13)/B13</f>
        <v>0.00295238095238097</v>
      </c>
    </row>
    <row r="15" customFormat="false" ht="15" hidden="false" customHeight="true" outlineLevel="0" collapsed="false">
      <c r="A15" s="8" t="s">
        <v>24</v>
      </c>
      <c r="B15" s="71" t="str">
        <f aca="false">IF(B14&lt;=0.05,"OK","CHECK")</f>
        <v>OK</v>
      </c>
    </row>
  </sheetData>
  <mergeCells count="1">
    <mergeCell ref="A2:J2"/>
  </mergeCells>
  <conditionalFormatting sqref="B15">
    <cfRule type="expression" priority="2" aboveAverage="0" equalAverage="0" bottom="0" percent="0" rank="0" text="" dxfId="1">
      <formula>$B$15="OK"</formula>
    </cfRule>
    <cfRule type="expression" priority="3" aboveAverage="0" equalAverage="0" bottom="0" percent="0" rank="0" text="" dxfId="0">
      <formula>$B$15="CHECK"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19.5" hidden="false" customHeight="true" outlineLevel="0" collapsed="false">
      <c r="A1" s="49" t="s">
        <v>192</v>
      </c>
    </row>
    <row r="2" customFormat="false" ht="15" hidden="false" customHeight="true" outlineLevel="0" collapsed="false">
      <c r="A2" s="4" t="s">
        <v>193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15" hidden="false" customHeight="true" outlineLevel="0" collapsed="false">
      <c r="B4" s="66" t="n">
        <v>2023</v>
      </c>
      <c r="C4" s="66" t="n">
        <v>2024</v>
      </c>
      <c r="D4" s="66" t="n">
        <v>2025</v>
      </c>
      <c r="E4" s="66" t="n">
        <v>2026</v>
      </c>
      <c r="F4" s="66" t="n">
        <v>2027</v>
      </c>
      <c r="G4" s="66" t="n">
        <v>2028</v>
      </c>
      <c r="H4" s="66" t="n">
        <v>2029</v>
      </c>
      <c r="I4" s="66" t="n">
        <v>2030</v>
      </c>
      <c r="J4" s="19" t="s">
        <v>162</v>
      </c>
    </row>
    <row r="5" customFormat="false" ht="15" hidden="false" customHeight="true" outlineLevel="0" collapsed="false">
      <c r="A5" s="8" t="s">
        <v>194</v>
      </c>
      <c r="B5" s="73" t="n">
        <v>5</v>
      </c>
      <c r="C5" s="73" t="n">
        <v>18</v>
      </c>
      <c r="D5" s="73" t="n">
        <v>38</v>
      </c>
      <c r="E5" s="73" t="n">
        <v>65</v>
      </c>
      <c r="F5" s="73" t="n">
        <v>95</v>
      </c>
      <c r="G5" s="73" t="n">
        <v>116</v>
      </c>
      <c r="H5" s="73" t="n">
        <v>130</v>
      </c>
      <c r="I5" s="73" t="n">
        <v>142</v>
      </c>
    </row>
    <row r="6" customFormat="false" ht="15" hidden="false" customHeight="true" outlineLevel="0" collapsed="false">
      <c r="A6" s="8" t="s">
        <v>195</v>
      </c>
      <c r="B6" s="74" t="n">
        <f aca="false">B5</f>
        <v>5</v>
      </c>
      <c r="C6" s="74" t="n">
        <f aca="false">C5-B5</f>
        <v>13</v>
      </c>
      <c r="D6" s="74" t="n">
        <f aca="false">D5-C5</f>
        <v>20</v>
      </c>
      <c r="E6" s="74" t="n">
        <f aca="false">E5-D5</f>
        <v>27</v>
      </c>
      <c r="F6" s="74" t="n">
        <f aca="false">F5-E5</f>
        <v>30</v>
      </c>
      <c r="G6" s="74" t="n">
        <f aca="false">G5-F5</f>
        <v>21</v>
      </c>
      <c r="H6" s="74" t="n">
        <f aca="false">H5-G5</f>
        <v>14</v>
      </c>
      <c r="I6" s="74" t="n">
        <f aca="false">I5-H5</f>
        <v>12</v>
      </c>
    </row>
    <row r="7" customFormat="false" ht="15" hidden="false" customHeight="true" outlineLevel="0" collapsed="false">
      <c r="A7" s="8" t="s">
        <v>196</v>
      </c>
      <c r="B7" s="74" t="n">
        <f aca="false">SUM(B6:B6)</f>
        <v>5</v>
      </c>
      <c r="C7" s="74" t="n">
        <f aca="false">SUM(B6:C6)</f>
        <v>18</v>
      </c>
      <c r="D7" s="74" t="n">
        <f aca="false">SUM(B6:D6)</f>
        <v>38</v>
      </c>
      <c r="E7" s="74" t="n">
        <f aca="false">SUM(B6:E6)</f>
        <v>65</v>
      </c>
      <c r="F7" s="74" t="n">
        <f aca="false">SUM(B6:F6)</f>
        <v>95</v>
      </c>
      <c r="G7" s="74" t="n">
        <f aca="false">SUM(C6:G6)</f>
        <v>111</v>
      </c>
      <c r="H7" s="74" t="n">
        <f aca="false">SUM(D6:H6)</f>
        <v>112</v>
      </c>
      <c r="I7" s="74" t="n">
        <f aca="false">SUM(E6:I6)</f>
        <v>104</v>
      </c>
    </row>
    <row r="9" customFormat="false" ht="15" hidden="false" customHeight="true" outlineLevel="0" collapsed="false">
      <c r="A9" s="16" t="s">
        <v>197</v>
      </c>
      <c r="B9" s="17"/>
      <c r="C9" s="17"/>
      <c r="D9" s="17"/>
      <c r="E9" s="17"/>
      <c r="F9" s="17"/>
      <c r="G9" s="17"/>
      <c r="H9" s="17"/>
      <c r="I9" s="17"/>
      <c r="J9" s="17"/>
    </row>
    <row r="10" customFormat="false" ht="15" hidden="false" customHeight="true" outlineLevel="0" collapsed="false">
      <c r="A10" s="8" t="s">
        <v>198</v>
      </c>
      <c r="B10" s="75" t="n">
        <f aca="false">avg_wage</f>
        <v>53000</v>
      </c>
    </row>
    <row r="11" customFormat="false" ht="15" hidden="false" customHeight="true" outlineLevel="0" collapsed="false">
      <c r="A11" s="8" t="s">
        <v>199</v>
      </c>
      <c r="B11" s="76" t="n">
        <f aca="false">eta_reempl</f>
        <v>0.4</v>
      </c>
    </row>
    <row r="12" customFormat="false" ht="15" hidden="false" customHeight="true" outlineLevel="0" collapsed="false">
      <c r="A12" s="8" t="s">
        <v>200</v>
      </c>
      <c r="B12" s="77" t="n">
        <f aca="false">avg_wage*(1-eta_reempl)</f>
        <v>31800</v>
      </c>
    </row>
    <row r="14" customFormat="false" ht="15" hidden="false" customHeight="true" outlineLevel="0" collapsed="false">
      <c r="A14" s="52" t="s">
        <v>201</v>
      </c>
      <c r="B14" s="53" t="n">
        <f aca="false">B7*1000*$B$12/1000000000</f>
        <v>0.159</v>
      </c>
      <c r="C14" s="53" t="n">
        <f aca="false">C7*1000*$B$12/1000000000</f>
        <v>0.5724</v>
      </c>
      <c r="D14" s="53" t="n">
        <f aca="false">D7*1000*$B$12/1000000000</f>
        <v>1.2084</v>
      </c>
      <c r="E14" s="53" t="n">
        <f aca="false">E7*1000*$B$12/1000000000</f>
        <v>2.067</v>
      </c>
      <c r="F14" s="53" t="n">
        <f aca="false">F7*1000*$B$12/1000000000</f>
        <v>3.021</v>
      </c>
      <c r="G14" s="53" t="n">
        <f aca="false">G7*1000*$B$12/1000000000</f>
        <v>3.5298</v>
      </c>
      <c r="H14" s="53" t="n">
        <f aca="false">H7*1000*$B$12/1000000000</f>
        <v>3.5616</v>
      </c>
      <c r="I14" s="53" t="n">
        <f aca="false">I7*1000*$B$12/1000000000</f>
        <v>3.3072</v>
      </c>
      <c r="J14" s="68" t="n">
        <f aca="false">SUM(B14:I14)</f>
        <v>17.4264</v>
      </c>
    </row>
    <row r="16" customFormat="false" ht="15" hidden="false" customHeight="true" outlineLevel="0" collapsed="false">
      <c r="A16" s="16" t="s">
        <v>202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true" outlineLevel="0" collapsed="false">
      <c r="A17" s="8" t="s">
        <v>203</v>
      </c>
      <c r="B17" s="78" t="n">
        <f aca="false">keyn_mult</f>
        <v>1.5</v>
      </c>
    </row>
    <row r="18" customFormat="false" ht="15" hidden="false" customHeight="true" outlineLevel="0" collapsed="false">
      <c r="A18" s="8" t="s">
        <v>204</v>
      </c>
      <c r="B18" s="78" t="n">
        <f aca="false">comp_factor</f>
        <v>1.7</v>
      </c>
    </row>
    <row r="19" customFormat="false" ht="15" hidden="false" customHeight="true" outlineLevel="0" collapsed="false">
      <c r="A19" s="8" t="s">
        <v>205</v>
      </c>
      <c r="B19" s="79" t="n">
        <f aca="false">keyn_mult*comp_factor</f>
        <v>2.55</v>
      </c>
    </row>
    <row r="20" customFormat="false" ht="15" hidden="false" customHeight="true" outlineLevel="0" collapsed="false">
      <c r="A20" s="52" t="s">
        <v>206</v>
      </c>
      <c r="B20" s="68" t="n">
        <f aca="false">J14*B19</f>
        <v>44.43732</v>
      </c>
    </row>
    <row r="22" customFormat="false" ht="15" hidden="false" customHeight="true" outlineLevel="0" collapsed="false">
      <c r="A22" s="16" t="s">
        <v>186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true" outlineLevel="0" collapsed="false">
      <c r="A23" s="8" t="s">
        <v>207</v>
      </c>
      <c r="B23" s="59" t="n">
        <f aca="false">B20</f>
        <v>44.43732</v>
      </c>
    </row>
    <row r="24" customFormat="false" ht="15" hidden="false" customHeight="true" outlineLevel="0" collapsed="false">
      <c r="A24" s="8" t="s">
        <v>178</v>
      </c>
      <c r="B24" s="57" t="n">
        <v>45</v>
      </c>
    </row>
    <row r="25" customFormat="false" ht="15" hidden="false" customHeight="true" outlineLevel="0" collapsed="false">
      <c r="A25" s="8" t="s">
        <v>179</v>
      </c>
      <c r="B25" s="29" t="n">
        <f aca="false">ABS(B23-B24)/B24</f>
        <v>0.012504</v>
      </c>
    </row>
    <row r="26" customFormat="false" ht="15" hidden="false" customHeight="true" outlineLevel="0" collapsed="false">
      <c r="A26" s="8" t="s">
        <v>24</v>
      </c>
      <c r="B26" s="71" t="str">
        <f aca="false">IF(B25&lt;=0.05,"OK","CHECK")</f>
        <v>OK</v>
      </c>
    </row>
  </sheetData>
  <mergeCells count="1">
    <mergeCell ref="A2:J2"/>
  </mergeCells>
  <conditionalFormatting sqref="B26">
    <cfRule type="expression" priority="2" aboveAverage="0" equalAverage="0" bottom="0" percent="0" rank="0" text="" dxfId="1">
      <formula>$B$26="OK"</formula>
    </cfRule>
    <cfRule type="expression" priority="3" aboveAverage="0" equalAverage="0" bottom="0" percent="0" rank="0" text="" dxfId="0">
      <formula>$B$26="CHECK"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19.5" hidden="false" customHeight="true" outlineLevel="0" collapsed="false">
      <c r="A1" s="49" t="s">
        <v>208</v>
      </c>
    </row>
    <row r="2" customFormat="false" ht="15" hidden="false" customHeight="true" outlineLevel="0" collapsed="false">
      <c r="A2" s="4" t="s">
        <v>209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15" hidden="false" customHeight="true" outlineLevel="0" collapsed="false">
      <c r="B4" s="66" t="n">
        <v>2023</v>
      </c>
      <c r="C4" s="66" t="n">
        <v>2024</v>
      </c>
      <c r="D4" s="66" t="n">
        <v>2025</v>
      </c>
      <c r="E4" s="66" t="n">
        <v>2026</v>
      </c>
      <c r="F4" s="66" t="n">
        <v>2027</v>
      </c>
      <c r="G4" s="66" t="n">
        <v>2028</v>
      </c>
      <c r="H4" s="66" t="n">
        <v>2029</v>
      </c>
      <c r="I4" s="66" t="n">
        <v>2030</v>
      </c>
      <c r="J4" s="19" t="s">
        <v>162</v>
      </c>
    </row>
    <row r="5" customFormat="false" ht="15" hidden="false" customHeight="true" outlineLevel="0" collapsed="false">
      <c r="A5" s="8" t="s">
        <v>210</v>
      </c>
      <c r="B5" s="80" t="n">
        <f aca="false">C4_Displaced_Wage!B7</f>
        <v>5</v>
      </c>
      <c r="C5" s="80" t="n">
        <f aca="false">C4_Displaced_Wage!C7</f>
        <v>18</v>
      </c>
      <c r="D5" s="80" t="n">
        <f aca="false">C4_Displaced_Wage!D7</f>
        <v>38</v>
      </c>
      <c r="E5" s="80" t="n">
        <f aca="false">C4_Displaced_Wage!E7</f>
        <v>65</v>
      </c>
      <c r="F5" s="80" t="n">
        <f aca="false">C4_Displaced_Wage!F7</f>
        <v>95</v>
      </c>
      <c r="G5" s="80" t="n">
        <f aca="false">C4_Displaced_Wage!G7</f>
        <v>111</v>
      </c>
      <c r="H5" s="80" t="n">
        <f aca="false">C4_Displaced_Wage!H7</f>
        <v>112</v>
      </c>
      <c r="I5" s="80" t="n">
        <f aca="false">C4_Displaced_Wage!I7</f>
        <v>104</v>
      </c>
    </row>
    <row r="7" customFormat="false" ht="15" hidden="false" customHeight="true" outlineLevel="0" collapsed="false">
      <c r="A7" s="16" t="s">
        <v>211</v>
      </c>
      <c r="B7" s="17"/>
      <c r="C7" s="17"/>
      <c r="D7" s="17"/>
      <c r="E7" s="17"/>
      <c r="F7" s="17"/>
      <c r="G7" s="17"/>
      <c r="H7" s="17"/>
      <c r="I7" s="17"/>
      <c r="J7" s="17"/>
    </row>
    <row r="8" customFormat="false" ht="15" hidden="false" customHeight="true" outlineLevel="0" collapsed="false">
      <c r="A8" s="8" t="s">
        <v>212</v>
      </c>
      <c r="B8" s="67" t="n">
        <v>0.04</v>
      </c>
      <c r="C8" s="67" t="n">
        <v>0.13</v>
      </c>
      <c r="D8" s="67" t="n">
        <v>0.32</v>
      </c>
      <c r="E8" s="67" t="n">
        <v>0.66</v>
      </c>
      <c r="F8" s="67" t="n">
        <v>1.08</v>
      </c>
      <c r="G8" s="67" t="n">
        <v>1.36</v>
      </c>
      <c r="H8" s="67" t="n">
        <v>1.42</v>
      </c>
      <c r="I8" s="67" t="n">
        <v>1.34</v>
      </c>
    </row>
    <row r="9" customFormat="false" ht="15" hidden="false" customHeight="true" outlineLevel="0" collapsed="false">
      <c r="A9" s="8" t="s">
        <v>213</v>
      </c>
      <c r="B9" s="67" t="n">
        <v>0.02</v>
      </c>
      <c r="C9" s="67" t="n">
        <v>0.1</v>
      </c>
      <c r="D9" s="67" t="n">
        <v>0.32</v>
      </c>
      <c r="E9" s="67" t="n">
        <v>0.66</v>
      </c>
      <c r="F9" s="67" t="n">
        <v>1.1</v>
      </c>
      <c r="G9" s="67" t="n">
        <v>1.65</v>
      </c>
      <c r="H9" s="67" t="n">
        <v>2.2</v>
      </c>
      <c r="I9" s="67" t="n">
        <v>2.8</v>
      </c>
    </row>
    <row r="10" customFormat="false" ht="15" hidden="false" customHeight="true" outlineLevel="0" collapsed="false">
      <c r="A10" s="8" t="s">
        <v>214</v>
      </c>
      <c r="B10" s="67" t="n">
        <v>0.01</v>
      </c>
      <c r="C10" s="67" t="n">
        <v>0.04</v>
      </c>
      <c r="D10" s="67" t="n">
        <v>0.11</v>
      </c>
      <c r="E10" s="67" t="n">
        <v>0.22</v>
      </c>
      <c r="F10" s="67" t="n">
        <v>0.36</v>
      </c>
      <c r="G10" s="67" t="n">
        <v>0.45</v>
      </c>
      <c r="H10" s="67" t="n">
        <v>0.5</v>
      </c>
      <c r="I10" s="67" t="n">
        <v>0.56</v>
      </c>
    </row>
    <row r="11" customFormat="false" ht="15" hidden="false" customHeight="true" outlineLevel="0" collapsed="false">
      <c r="A11" s="52" t="s">
        <v>215</v>
      </c>
      <c r="B11" s="68" t="n">
        <f aca="false">SUM(B8:B10)</f>
        <v>0.07</v>
      </c>
      <c r="C11" s="68" t="n">
        <f aca="false">SUM(C8:C10)</f>
        <v>0.27</v>
      </c>
      <c r="D11" s="68" t="n">
        <f aca="false">SUM(D8:D10)</f>
        <v>0.75</v>
      </c>
      <c r="E11" s="68" t="n">
        <f aca="false">SUM(E8:E10)</f>
        <v>1.54</v>
      </c>
      <c r="F11" s="68" t="n">
        <f aca="false">SUM(F8:F10)</f>
        <v>2.54</v>
      </c>
      <c r="G11" s="68" t="n">
        <f aca="false">SUM(G8:G10)</f>
        <v>3.46</v>
      </c>
      <c r="H11" s="68" t="n">
        <f aca="false">SUM(H8:H10)</f>
        <v>4.12</v>
      </c>
      <c r="I11" s="68" t="n">
        <f aca="false">SUM(I8:I10)</f>
        <v>4.7</v>
      </c>
      <c r="J11" s="68" t="n">
        <f aca="false">SUM(B11:I11)</f>
        <v>17.45</v>
      </c>
    </row>
    <row r="12" customFormat="false" ht="15" hidden="false" customHeight="true" outlineLevel="0" collapsed="false">
      <c r="A12" s="11" t="s">
        <v>185</v>
      </c>
      <c r="B12" s="72" t="n">
        <f aca="false">B11</f>
        <v>0.07</v>
      </c>
      <c r="C12" s="72" t="n">
        <f aca="false">B12+C11</f>
        <v>0.34</v>
      </c>
      <c r="D12" s="72" t="n">
        <f aca="false">C12+D11</f>
        <v>1.09</v>
      </c>
      <c r="E12" s="72" t="n">
        <f aca="false">D12+E11</f>
        <v>2.63</v>
      </c>
      <c r="F12" s="72" t="n">
        <f aca="false">E12+F11</f>
        <v>5.17</v>
      </c>
      <c r="G12" s="72" t="n">
        <f aca="false">F12+G11</f>
        <v>8.63</v>
      </c>
      <c r="H12" s="72" t="n">
        <f aca="false">G12+H11</f>
        <v>12.75</v>
      </c>
      <c r="I12" s="72" t="n">
        <f aca="false">H12+I11</f>
        <v>17.45</v>
      </c>
    </row>
    <row r="14" customFormat="false" ht="15" hidden="false" customHeight="true" outlineLevel="0" collapsed="false">
      <c r="A14" s="16" t="s">
        <v>186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true" outlineLevel="0" collapsed="false">
      <c r="A15" s="8" t="s">
        <v>177</v>
      </c>
      <c r="B15" s="59" t="n">
        <f aca="false">J11</f>
        <v>17.45</v>
      </c>
    </row>
    <row r="16" customFormat="false" ht="15" hidden="false" customHeight="true" outlineLevel="0" collapsed="false">
      <c r="A16" s="8" t="s">
        <v>178</v>
      </c>
      <c r="B16" s="57" t="n">
        <v>18</v>
      </c>
    </row>
    <row r="17" customFormat="false" ht="15" hidden="false" customHeight="true" outlineLevel="0" collapsed="false">
      <c r="A17" s="8" t="s">
        <v>179</v>
      </c>
      <c r="B17" s="29" t="n">
        <f aca="false">ABS(B15-B16)/B16</f>
        <v>0.0305555555555556</v>
      </c>
    </row>
    <row r="18" customFormat="false" ht="15" hidden="false" customHeight="true" outlineLevel="0" collapsed="false">
      <c r="A18" s="8" t="s">
        <v>24</v>
      </c>
      <c r="B18" s="71" t="str">
        <f aca="false">IF(B17&lt;=0.05,"OK","CHECK")</f>
        <v>OK</v>
      </c>
    </row>
    <row r="20" customFormat="false" ht="15" hidden="false" customHeight="true" outlineLevel="0" collapsed="false">
      <c r="A20" s="8" t="s">
        <v>216</v>
      </c>
      <c r="B20" s="59" t="n">
        <f aca="false">I11</f>
        <v>4.7</v>
      </c>
    </row>
    <row r="21" customFormat="false" ht="15" hidden="false" customHeight="true" outlineLevel="0" collapsed="false">
      <c r="A21" s="8" t="s">
        <v>217</v>
      </c>
      <c r="B21" s="57" t="n">
        <v>4.7</v>
      </c>
    </row>
  </sheetData>
  <mergeCells count="1">
    <mergeCell ref="A2:J2"/>
  </mergeCells>
  <conditionalFormatting sqref="B18">
    <cfRule type="expression" priority="2" aboveAverage="0" equalAverage="0" bottom="0" percent="0" rank="0" text="" dxfId="1">
      <formula>$B$18="OK"</formula>
    </cfRule>
    <cfRule type="expression" priority="3" aboveAverage="0" equalAverage="0" bottom="0" percent="0" rank="0" text="" dxfId="0">
      <formula>$B$18="CHECK"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19.5" hidden="false" customHeight="true" outlineLevel="0" collapsed="false">
      <c r="A1" s="49" t="s">
        <v>218</v>
      </c>
    </row>
    <row r="2" customFormat="false" ht="15" hidden="false" customHeight="true" outlineLevel="0" collapsed="false">
      <c r="A2" s="4" t="s">
        <v>219</v>
      </c>
      <c r="B2" s="4"/>
      <c r="C2" s="4"/>
      <c r="D2" s="4"/>
      <c r="E2" s="4"/>
      <c r="F2" s="4"/>
      <c r="G2" s="4"/>
      <c r="H2" s="4"/>
      <c r="I2" s="4"/>
      <c r="J2" s="4"/>
    </row>
    <row r="4" customFormat="false" ht="15" hidden="false" customHeight="true" outlineLevel="0" collapsed="false">
      <c r="A4" s="16" t="s">
        <v>220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true" outlineLevel="0" collapsed="false">
      <c r="A5" s="18" t="s">
        <v>221</v>
      </c>
      <c r="B5" s="19" t="s">
        <v>222</v>
      </c>
      <c r="C5" s="18" t="s">
        <v>223</v>
      </c>
    </row>
    <row r="6" customFormat="false" ht="15" hidden="false" customHeight="true" outlineLevel="0" collapsed="false">
      <c r="A6" s="8" t="s">
        <v>224</v>
      </c>
      <c r="B6" s="67" t="n">
        <v>4.9</v>
      </c>
      <c r="C6" s="11" t="s">
        <v>225</v>
      </c>
    </row>
    <row r="7" customFormat="false" ht="15" hidden="false" customHeight="true" outlineLevel="0" collapsed="false">
      <c r="A7" s="8" t="s">
        <v>226</v>
      </c>
      <c r="B7" s="67" t="n">
        <v>6.6</v>
      </c>
      <c r="C7" s="11" t="s">
        <v>227</v>
      </c>
    </row>
    <row r="8" customFormat="false" ht="15" hidden="false" customHeight="true" outlineLevel="0" collapsed="false">
      <c r="A8" s="8" t="s">
        <v>228</v>
      </c>
      <c r="B8" s="67" t="n">
        <v>6.2</v>
      </c>
      <c r="C8" s="11" t="s">
        <v>229</v>
      </c>
    </row>
    <row r="9" customFormat="false" ht="15" hidden="false" customHeight="true" outlineLevel="0" collapsed="false">
      <c r="A9" s="8" t="s">
        <v>230</v>
      </c>
      <c r="B9" s="67" t="n">
        <v>2</v>
      </c>
      <c r="C9" s="11" t="s">
        <v>231</v>
      </c>
    </row>
    <row r="10" customFormat="false" ht="15" hidden="false" customHeight="true" outlineLevel="0" collapsed="false">
      <c r="A10" s="8" t="s">
        <v>232</v>
      </c>
      <c r="B10" s="67" t="n">
        <v>3.7</v>
      </c>
      <c r="C10" s="11" t="s">
        <v>233</v>
      </c>
    </row>
    <row r="11" customFormat="false" ht="15" hidden="false" customHeight="true" outlineLevel="0" collapsed="false">
      <c r="A11" s="52" t="s">
        <v>234</v>
      </c>
      <c r="B11" s="68" t="n">
        <f aca="false">SUM(B6:B10)</f>
        <v>23.4</v>
      </c>
    </row>
    <row r="13" customFormat="false" ht="15" hidden="false" customHeight="true" outlineLevel="0" collapsed="false">
      <c r="A13" s="16" t="s">
        <v>235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15" hidden="false" customHeight="true" outlineLevel="0" collapsed="false">
      <c r="A14" s="18" t="s">
        <v>236</v>
      </c>
      <c r="B14" s="18" t="s">
        <v>237</v>
      </c>
      <c r="C14" s="18" t="s">
        <v>238</v>
      </c>
      <c r="D14" s="18" t="s">
        <v>239</v>
      </c>
    </row>
    <row r="15" customFormat="false" ht="15" hidden="false" customHeight="true" outlineLevel="0" collapsed="false">
      <c r="A15" s="81" t="n">
        <v>2026</v>
      </c>
      <c r="B15" s="67" t="n">
        <v>3</v>
      </c>
      <c r="C15" s="82" t="n">
        <f aca="false">1/(1+disc_rate)^(0)</f>
        <v>1</v>
      </c>
      <c r="D15" s="54" t="n">
        <f aca="false">B15*C15</f>
        <v>3</v>
      </c>
    </row>
    <row r="16" customFormat="false" ht="15" hidden="false" customHeight="true" outlineLevel="0" collapsed="false">
      <c r="A16" s="81" t="n">
        <v>2027</v>
      </c>
      <c r="B16" s="67" t="n">
        <v>7</v>
      </c>
      <c r="C16" s="82" t="n">
        <f aca="false">1/(1+disc_rate)^(1)</f>
        <v>0.961538461538462</v>
      </c>
      <c r="D16" s="54" t="n">
        <f aca="false">B16*C16</f>
        <v>6.73076923076923</v>
      </c>
    </row>
    <row r="17" customFormat="false" ht="15" hidden="false" customHeight="true" outlineLevel="0" collapsed="false">
      <c r="A17" s="81" t="n">
        <v>2028</v>
      </c>
      <c r="B17" s="67" t="n">
        <v>12</v>
      </c>
      <c r="C17" s="82" t="n">
        <f aca="false">1/(1+disc_rate)^(2)</f>
        <v>0.924556213017751</v>
      </c>
      <c r="D17" s="54" t="n">
        <f aca="false">B17*C17</f>
        <v>11.094674556213</v>
      </c>
    </row>
    <row r="18" customFormat="false" ht="15" hidden="false" customHeight="true" outlineLevel="0" collapsed="false">
      <c r="A18" s="81" t="n">
        <v>2029</v>
      </c>
      <c r="B18" s="67" t="n">
        <v>17.5</v>
      </c>
      <c r="C18" s="82" t="n">
        <f aca="false">1/(1+disc_rate)^(3)</f>
        <v>0.888996358670915</v>
      </c>
      <c r="D18" s="54" t="n">
        <f aca="false">B18*C18</f>
        <v>15.557436276741</v>
      </c>
    </row>
    <row r="19" customFormat="false" ht="15" hidden="false" customHeight="true" outlineLevel="0" collapsed="false">
      <c r="A19" s="81" t="n">
        <v>2030</v>
      </c>
      <c r="B19" s="67" t="n">
        <v>23.4</v>
      </c>
      <c r="C19" s="82" t="n">
        <f aca="false">1/(1+disc_rate)^(4)</f>
        <v>0.854804191029726</v>
      </c>
      <c r="D19" s="54" t="n">
        <f aca="false">B19*C19</f>
        <v>20.0024180700956</v>
      </c>
    </row>
    <row r="20" customFormat="false" ht="15" hidden="false" customHeight="true" outlineLevel="0" collapsed="false">
      <c r="A20" s="52" t="s">
        <v>240</v>
      </c>
      <c r="D20" s="68" t="n">
        <f aca="false">SUM(D15:D19)</f>
        <v>56.3852981338188</v>
      </c>
    </row>
    <row r="22" customFormat="false" ht="15" hidden="false" customHeight="true" outlineLevel="0" collapsed="false">
      <c r="A22" s="16" t="s">
        <v>241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true" outlineLevel="0" collapsed="false">
      <c r="A23" s="8" t="s">
        <v>242</v>
      </c>
      <c r="B23" s="59" t="n">
        <f aca="false">D20</f>
        <v>56.3852981338188</v>
      </c>
    </row>
    <row r="24" customFormat="false" ht="74.25" hidden="false" customHeight="true" outlineLevel="0" collapsed="false">
      <c r="A24" s="8" t="s">
        <v>243</v>
      </c>
      <c r="B24" s="57" t="n">
        <v>59</v>
      </c>
      <c r="D24" s="34" t="s">
        <v>244</v>
      </c>
    </row>
    <row r="25" customFormat="false" ht="15" hidden="false" customHeight="true" outlineLevel="0" collapsed="false">
      <c r="A25" s="52" t="s">
        <v>245</v>
      </c>
      <c r="B25" s="83" t="n">
        <v>59</v>
      </c>
    </row>
    <row r="27" customFormat="false" ht="15" hidden="false" customHeight="true" outlineLevel="0" collapsed="false">
      <c r="A27" s="16" t="s">
        <v>246</v>
      </c>
      <c r="B27" s="17"/>
      <c r="C27" s="17"/>
      <c r="D27" s="17"/>
      <c r="E27" s="17"/>
      <c r="F27" s="17"/>
      <c r="G27" s="17"/>
      <c r="H27" s="17"/>
      <c r="I27" s="17"/>
      <c r="J27" s="17"/>
    </row>
    <row r="28" customFormat="false" ht="15" hidden="false" customHeight="true" outlineLevel="0" collapsed="false">
      <c r="A28" s="8" t="s">
        <v>247</v>
      </c>
      <c r="B28" s="22" t="n">
        <v>38</v>
      </c>
    </row>
    <row r="29" customFormat="false" ht="15" hidden="false" customHeight="true" outlineLevel="0" collapsed="false">
      <c r="A29" s="8" t="s">
        <v>248</v>
      </c>
      <c r="B29" s="22" t="n">
        <v>101</v>
      </c>
    </row>
    <row r="30" customFormat="false" ht="15" hidden="false" customHeight="true" outlineLevel="0" collapsed="false">
      <c r="A30" s="11" t="s">
        <v>249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3"/>
  </cols>
  <sheetData>
    <row r="1" customFormat="false" ht="19.5" hidden="false" customHeight="true" outlineLevel="0" collapsed="false">
      <c r="A1" s="49" t="s">
        <v>250</v>
      </c>
    </row>
    <row r="2" customFormat="false" ht="15" hidden="false" customHeight="true" outlineLevel="0" collapsed="false">
      <c r="A2" s="4" t="s">
        <v>251</v>
      </c>
      <c r="B2" s="4"/>
      <c r="C2" s="4"/>
      <c r="D2" s="4"/>
      <c r="E2" s="4"/>
      <c r="F2" s="4"/>
      <c r="G2" s="4"/>
    </row>
    <row r="4" customFormat="false" ht="15" hidden="false" customHeight="true" outlineLevel="0" collapsed="false">
      <c r="A4" s="18" t="s">
        <v>252</v>
      </c>
      <c r="B4" s="66" t="n">
        <v>2024</v>
      </c>
      <c r="C4" s="66" t="n">
        <v>2025</v>
      </c>
      <c r="D4" s="66" t="n">
        <v>2026</v>
      </c>
      <c r="E4" s="18" t="s">
        <v>223</v>
      </c>
    </row>
    <row r="5" customFormat="false" ht="15" hidden="false" customHeight="true" outlineLevel="0" collapsed="false">
      <c r="A5" s="16" t="s">
        <v>253</v>
      </c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8" t="s">
        <v>254</v>
      </c>
      <c r="B6" s="20" t="n">
        <f aca="false">C1_Subscription_Flow!C14</f>
        <v>4.3</v>
      </c>
      <c r="C6" s="20" t="n">
        <f aca="false">C1_Subscription_Flow!D14</f>
        <v>7.99</v>
      </c>
      <c r="D6" s="20" t="n">
        <f aca="false">C1_Subscription_Flow!E14</f>
        <v>13.3</v>
      </c>
      <c r="E6" s="11" t="s">
        <v>255</v>
      </c>
    </row>
    <row r="8" customFormat="false" ht="15" hidden="false" customHeight="true" outlineLevel="0" collapsed="false">
      <c r="A8" s="16" t="s">
        <v>256</v>
      </c>
      <c r="B8" s="17"/>
      <c r="C8" s="17"/>
      <c r="D8" s="17"/>
      <c r="E8" s="17"/>
      <c r="F8" s="17"/>
      <c r="G8" s="17"/>
    </row>
    <row r="9" customFormat="false" ht="84.75" hidden="false" customHeight="true" outlineLevel="0" collapsed="false">
      <c r="A9" s="8" t="s">
        <v>257</v>
      </c>
      <c r="B9" s="84" t="n">
        <v>560</v>
      </c>
      <c r="C9" s="84" t="n">
        <v>595</v>
      </c>
      <c r="D9" s="84" t="n">
        <v>631</v>
      </c>
      <c r="E9" s="34" t="s">
        <v>258</v>
      </c>
    </row>
    <row r="10" customFormat="false" ht="63.75" hidden="false" customHeight="true" outlineLevel="0" collapsed="false">
      <c r="A10" s="8" t="s">
        <v>259</v>
      </c>
      <c r="B10" s="84" t="n">
        <v>210</v>
      </c>
      <c r="C10" s="84" t="n">
        <v>315</v>
      </c>
      <c r="D10" s="84" t="n">
        <v>420</v>
      </c>
      <c r="E10" s="34" t="s">
        <v>260</v>
      </c>
    </row>
    <row r="11" customFormat="false" ht="63.75" hidden="false" customHeight="true" outlineLevel="0" collapsed="false">
      <c r="A11" s="8" t="s">
        <v>261</v>
      </c>
      <c r="B11" s="84" t="n">
        <v>110</v>
      </c>
      <c r="C11" s="84" t="n">
        <v>165</v>
      </c>
      <c r="D11" s="84" t="n">
        <v>240</v>
      </c>
      <c r="E11" s="34" t="s">
        <v>262</v>
      </c>
    </row>
    <row r="12" customFormat="false" ht="63.75" hidden="false" customHeight="true" outlineLevel="0" collapsed="false">
      <c r="A12" s="8" t="s">
        <v>263</v>
      </c>
      <c r="B12" s="84" t="n">
        <v>115</v>
      </c>
      <c r="C12" s="84" t="n">
        <v>130</v>
      </c>
      <c r="D12" s="84" t="n">
        <v>145</v>
      </c>
      <c r="E12" s="34" t="s">
        <v>264</v>
      </c>
    </row>
    <row r="13" customFormat="false" ht="63.75" hidden="false" customHeight="true" outlineLevel="0" collapsed="false">
      <c r="A13" s="8" t="s">
        <v>265</v>
      </c>
      <c r="B13" s="84" t="n">
        <v>55</v>
      </c>
      <c r="C13" s="84" t="n">
        <v>100</v>
      </c>
      <c r="D13" s="84" t="n">
        <v>156</v>
      </c>
      <c r="E13" s="34" t="s">
        <v>266</v>
      </c>
    </row>
    <row r="14" customFormat="false" ht="15" hidden="false" customHeight="true" outlineLevel="0" collapsed="false">
      <c r="A14" s="52" t="s">
        <v>267</v>
      </c>
      <c r="B14" s="85" t="n">
        <f aca="false">SUM(B9:B13)</f>
        <v>1050</v>
      </c>
      <c r="C14" s="85" t="n">
        <f aca="false">SUM(C9:C13)</f>
        <v>1305</v>
      </c>
      <c r="D14" s="85" t="n">
        <f aca="false">SUM(D9:D13)</f>
        <v>1592</v>
      </c>
    </row>
    <row r="15" customFormat="false" ht="15" hidden="false" customHeight="true" outlineLevel="0" collapsed="false">
      <c r="A15" s="8" t="s">
        <v>268</v>
      </c>
      <c r="B15" s="54" t="n">
        <f aca="false">B14/1000</f>
        <v>1.05</v>
      </c>
      <c r="C15" s="54" t="n">
        <f aca="false">C14/1000</f>
        <v>1.305</v>
      </c>
      <c r="D15" s="54" t="n">
        <f aca="false">D14/1000</f>
        <v>1.592</v>
      </c>
    </row>
    <row r="17" customFormat="false" ht="15" hidden="false" customHeight="true" outlineLevel="0" collapsed="false">
      <c r="A17" s="16" t="s">
        <v>269</v>
      </c>
      <c r="B17" s="17"/>
      <c r="C17" s="17"/>
      <c r="D17" s="17"/>
      <c r="E17" s="17"/>
      <c r="F17" s="17"/>
      <c r="G17" s="17"/>
    </row>
    <row r="18" customFormat="false" ht="15" hidden="false" customHeight="true" outlineLevel="0" collapsed="false">
      <c r="A18" s="86" t="s">
        <v>270</v>
      </c>
      <c r="B18" s="87" t="n">
        <f aca="false">1-B15/B6</f>
        <v>0.755813953488372</v>
      </c>
      <c r="C18" s="87" t="n">
        <f aca="false">1-C15/C6</f>
        <v>0.836670838548185</v>
      </c>
      <c r="D18" s="87" t="n">
        <f aca="false">1-D15/D6</f>
        <v>0.880300751879699</v>
      </c>
    </row>
    <row r="19" customFormat="false" ht="15" hidden="false" customHeight="true" outlineLevel="0" collapsed="false">
      <c r="A19" s="8" t="s">
        <v>178</v>
      </c>
      <c r="B19" s="40" t="n">
        <v>0.76</v>
      </c>
      <c r="C19" s="40" t="n">
        <v>0.83</v>
      </c>
      <c r="D19" s="40" t="n">
        <v>0.87</v>
      </c>
    </row>
    <row r="20" customFormat="false" ht="15" hidden="false" customHeight="true" outlineLevel="0" collapsed="false">
      <c r="A20" s="8" t="s">
        <v>24</v>
      </c>
      <c r="B20" s="71" t="str">
        <f aca="false">IF(ABS(B18-B19)&lt;=0.02,"OK","CHECK")</f>
        <v>OK</v>
      </c>
      <c r="C20" s="71" t="str">
        <f aca="false">IF(ABS(C18-C19)&lt;=0.02,"OK","CHECK")</f>
        <v>OK</v>
      </c>
      <c r="D20" s="71" t="str">
        <f aca="false">IF(ABS(D18-D19)&lt;=0.02,"OK","CHECK")</f>
        <v>OK</v>
      </c>
    </row>
    <row r="22" customFormat="false" ht="15" hidden="false" customHeight="true" outlineLevel="0" collapsed="false">
      <c r="A22" s="16" t="s">
        <v>271</v>
      </c>
      <c r="B22" s="17"/>
      <c r="C22" s="17"/>
      <c r="D22" s="17"/>
      <c r="E22" s="17"/>
      <c r="F22" s="17"/>
      <c r="G22" s="17"/>
    </row>
    <row r="23" customFormat="false" ht="15" hidden="false" customHeight="true" outlineLevel="0" collapsed="false">
      <c r="A23" s="8" t="s">
        <v>272</v>
      </c>
      <c r="B23" s="88" t="n">
        <f aca="false">lambda_central</f>
        <v>0.85</v>
      </c>
    </row>
    <row r="24" customFormat="false" ht="15" hidden="false" customHeight="true" outlineLevel="0" collapsed="false">
      <c r="A24" s="8" t="s">
        <v>273</v>
      </c>
      <c r="B24" s="60" t="n">
        <v>0.78</v>
      </c>
    </row>
    <row r="25" customFormat="false" ht="15" hidden="false" customHeight="true" outlineLevel="0" collapsed="false">
      <c r="A25" s="8" t="s">
        <v>274</v>
      </c>
      <c r="B25" s="60" t="n">
        <v>0.9</v>
      </c>
    </row>
  </sheetData>
  <mergeCells count="1">
    <mergeCell ref="A2:G2"/>
  </mergeCells>
  <conditionalFormatting sqref="B20">
    <cfRule type="expression" priority="2" aboveAverage="0" equalAverage="0" bottom="0" percent="0" rank="0" text="" dxfId="1">
      <formula>$B$20="OK"</formula>
    </cfRule>
    <cfRule type="expression" priority="3" aboveAverage="0" equalAverage="0" bottom="0" percent="0" rank="0" text="" dxfId="0">
      <formula>$B$20="CHECK"</formula>
    </cfRule>
  </conditionalFormatting>
  <conditionalFormatting sqref="C20">
    <cfRule type="expression" priority="4" aboveAverage="0" equalAverage="0" bottom="0" percent="0" rank="0" text="" dxfId="1">
      <formula>$C$20="OK"</formula>
    </cfRule>
    <cfRule type="expression" priority="5" aboveAverage="0" equalAverage="0" bottom="0" percent="0" rank="0" text="" dxfId="0">
      <formula>$C$20="CHECK"</formula>
    </cfRule>
  </conditionalFormatting>
  <conditionalFormatting sqref="D20">
    <cfRule type="expression" priority="6" aboveAverage="0" equalAverage="0" bottom="0" percent="0" rank="0" text="" dxfId="1">
      <formula>$D$20="OK"</formula>
    </cfRule>
    <cfRule type="expression" priority="7" aboveAverage="0" equalAverage="0" bottom="0" percent="0" rank="0" text="" dxfId="0">
      <formula>$D$20="CHECK"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19.5" hidden="false" customHeight="true" outlineLevel="0" collapsed="false">
      <c r="A1" s="49" t="s">
        <v>275</v>
      </c>
    </row>
    <row r="2" customFormat="false" ht="15" hidden="false" customHeight="true" outlineLevel="0" collapsed="false">
      <c r="A2" s="4" t="s">
        <v>276</v>
      </c>
      <c r="B2" s="4"/>
      <c r="C2" s="4"/>
      <c r="D2" s="4"/>
      <c r="E2" s="4"/>
    </row>
    <row r="4" customFormat="false" ht="15" hidden="false" customHeight="true" outlineLevel="0" collapsed="false">
      <c r="A4" s="19" t="s">
        <v>18</v>
      </c>
      <c r="B4" s="19" t="s">
        <v>277</v>
      </c>
      <c r="C4" s="19" t="s">
        <v>278</v>
      </c>
      <c r="D4" s="19" t="s">
        <v>279</v>
      </c>
      <c r="E4" s="19" t="s">
        <v>280</v>
      </c>
    </row>
    <row r="6" customFormat="false" ht="15" hidden="false" customHeight="true" outlineLevel="0" collapsed="false">
      <c r="A6" s="16" t="s">
        <v>281</v>
      </c>
      <c r="B6" s="17"/>
      <c r="C6" s="17"/>
      <c r="D6" s="17"/>
      <c r="E6" s="17"/>
    </row>
    <row r="7" customFormat="false" ht="15" hidden="false" customHeight="true" outlineLevel="0" collapsed="false">
      <c r="A7" s="8" t="s">
        <v>282</v>
      </c>
      <c r="B7" s="67" t="n">
        <v>2</v>
      </c>
      <c r="C7" s="67" t="n">
        <v>2.5</v>
      </c>
      <c r="D7" s="89" t="n">
        <f aca="false">AVERAGE(B7:C7)</f>
        <v>2.25</v>
      </c>
      <c r="E7" s="34" t="s">
        <v>283</v>
      </c>
    </row>
    <row r="8" customFormat="false" ht="21.75" hidden="false" customHeight="true" outlineLevel="0" collapsed="false">
      <c r="A8" s="8" t="s">
        <v>284</v>
      </c>
      <c r="B8" s="67" t="n">
        <v>15</v>
      </c>
      <c r="C8" s="67" t="n">
        <v>22</v>
      </c>
      <c r="D8" s="89" t="n">
        <f aca="false">AVERAGE(B8:C8)</f>
        <v>18.5</v>
      </c>
      <c r="E8" s="34" t="s">
        <v>285</v>
      </c>
    </row>
    <row r="9" customFormat="false" ht="15" hidden="false" customHeight="true" outlineLevel="0" collapsed="false">
      <c r="A9" s="8" t="s">
        <v>286</v>
      </c>
      <c r="B9" s="67" t="n">
        <v>4</v>
      </c>
      <c r="C9" s="67" t="n">
        <v>6</v>
      </c>
      <c r="D9" s="89" t="n">
        <f aca="false">AVERAGE(B9:C9)</f>
        <v>5</v>
      </c>
      <c r="E9" s="34" t="s">
        <v>287</v>
      </c>
    </row>
    <row r="10" customFormat="false" ht="15" hidden="false" customHeight="true" outlineLevel="0" collapsed="false">
      <c r="A10" s="8" t="s">
        <v>288</v>
      </c>
      <c r="B10" s="67" t="n">
        <v>5</v>
      </c>
      <c r="C10" s="67" t="n">
        <v>8</v>
      </c>
      <c r="D10" s="89" t="n">
        <f aca="false">AVERAGE(B10:C10)</f>
        <v>6.5</v>
      </c>
      <c r="E10" s="34" t="s">
        <v>289</v>
      </c>
    </row>
    <row r="11" customFormat="false" ht="15" hidden="false" customHeight="true" outlineLevel="0" collapsed="false">
      <c r="A11" s="8" t="s">
        <v>290</v>
      </c>
      <c r="B11" s="67" t="n">
        <v>2</v>
      </c>
      <c r="C11" s="67" t="n">
        <v>4</v>
      </c>
      <c r="D11" s="89" t="n">
        <f aca="false">AVERAGE(B11:C11)</f>
        <v>3</v>
      </c>
      <c r="E11" s="34" t="s">
        <v>291</v>
      </c>
    </row>
    <row r="12" customFormat="false" ht="15" hidden="false" customHeight="true" outlineLevel="0" collapsed="false">
      <c r="A12" s="8" t="s">
        <v>292</v>
      </c>
      <c r="B12" s="67" t="n">
        <v>3</v>
      </c>
      <c r="C12" s="67" t="n">
        <v>5</v>
      </c>
      <c r="D12" s="89" t="n">
        <f aca="false">AVERAGE(B12:C12)</f>
        <v>4</v>
      </c>
      <c r="E12" s="34" t="s">
        <v>293</v>
      </c>
    </row>
    <row r="13" customFormat="false" ht="15" hidden="false" customHeight="true" outlineLevel="0" collapsed="false">
      <c r="A13" s="52" t="s">
        <v>294</v>
      </c>
      <c r="B13" s="68" t="n">
        <f aca="false">SUM(B7:B12)</f>
        <v>31</v>
      </c>
      <c r="C13" s="68" t="n">
        <f aca="false">SUM(C7:C12)</f>
        <v>47.5</v>
      </c>
      <c r="D13" s="68" t="n">
        <f aca="false">SUM(D7:D12)</f>
        <v>39.25</v>
      </c>
    </row>
    <row r="15" customFormat="false" ht="15" hidden="false" customHeight="true" outlineLevel="0" collapsed="false">
      <c r="A15" s="16" t="s">
        <v>295</v>
      </c>
      <c r="B15" s="17"/>
      <c r="C15" s="17"/>
      <c r="D15" s="17"/>
      <c r="E15" s="17"/>
    </row>
    <row r="16" customFormat="false" ht="15" hidden="false" customHeight="true" outlineLevel="0" collapsed="false">
      <c r="A16" s="8" t="s">
        <v>296</v>
      </c>
      <c r="B16" s="67" t="n">
        <v>1</v>
      </c>
      <c r="C16" s="67" t="n">
        <v>1.5</v>
      </c>
      <c r="D16" s="89" t="n">
        <f aca="false">AVERAGE(B16:C16)</f>
        <v>1.25</v>
      </c>
      <c r="E16" s="11" t="s">
        <v>297</v>
      </c>
    </row>
    <row r="17" customFormat="false" ht="15" hidden="false" customHeight="true" outlineLevel="0" collapsed="false">
      <c r="A17" s="8" t="s">
        <v>298</v>
      </c>
      <c r="B17" s="67" t="n">
        <v>2</v>
      </c>
      <c r="C17" s="67" t="n">
        <v>3</v>
      </c>
      <c r="D17" s="89" t="n">
        <f aca="false">AVERAGE(B17:C17)</f>
        <v>2.5</v>
      </c>
      <c r="E17" s="11" t="s">
        <v>299</v>
      </c>
    </row>
    <row r="18" customFormat="false" ht="15" hidden="false" customHeight="true" outlineLevel="0" collapsed="false">
      <c r="A18" s="8" t="s">
        <v>300</v>
      </c>
      <c r="B18" s="67" t="n">
        <v>0.5</v>
      </c>
      <c r="C18" s="67" t="n">
        <v>1</v>
      </c>
      <c r="D18" s="89" t="n">
        <f aca="false">AVERAGE(B18:C18)</f>
        <v>0.75</v>
      </c>
      <c r="E18" s="11" t="s">
        <v>301</v>
      </c>
    </row>
    <row r="19" customFormat="false" ht="15" hidden="false" customHeight="true" outlineLevel="0" collapsed="false">
      <c r="A19" s="8" t="s">
        <v>302</v>
      </c>
      <c r="B19" s="67" t="n">
        <v>0</v>
      </c>
      <c r="C19" s="67" t="n">
        <v>0.5</v>
      </c>
      <c r="D19" s="89" t="n">
        <f aca="false">AVERAGE(B19:C19)</f>
        <v>0.25</v>
      </c>
      <c r="E19" s="11" t="s">
        <v>303</v>
      </c>
    </row>
    <row r="20" customFormat="false" ht="15" hidden="false" customHeight="true" outlineLevel="0" collapsed="false">
      <c r="A20" s="52" t="s">
        <v>304</v>
      </c>
      <c r="B20" s="68" t="n">
        <f aca="false">SUM(B16:B19)</f>
        <v>3.5</v>
      </c>
      <c r="C20" s="68" t="n">
        <f aca="false">SUM(C16:C19)</f>
        <v>6</v>
      </c>
      <c r="D20" s="68" t="n">
        <f aca="false">SUM(D16:D19)</f>
        <v>4.75</v>
      </c>
    </row>
    <row r="22" customFormat="false" ht="15" hidden="false" customHeight="true" outlineLevel="0" collapsed="false">
      <c r="A22" s="16" t="s">
        <v>305</v>
      </c>
      <c r="B22" s="17"/>
      <c r="C22" s="17"/>
      <c r="D22" s="17"/>
      <c r="E22" s="17"/>
    </row>
    <row r="23" customFormat="false" ht="15" hidden="false" customHeight="true" outlineLevel="0" collapsed="false">
      <c r="A23" s="86" t="s">
        <v>306</v>
      </c>
      <c r="B23" s="90" t="n">
        <f aca="false">B13-C20</f>
        <v>25</v>
      </c>
      <c r="C23" s="90" t="n">
        <f aca="false">C13-B20</f>
        <v>44</v>
      </c>
      <c r="D23" s="90" t="n">
        <f aca="false">D13-D20</f>
        <v>34.5</v>
      </c>
      <c r="E23" s="11" t="s">
        <v>307</v>
      </c>
    </row>
    <row r="25" customFormat="false" ht="15" hidden="false" customHeight="true" outlineLevel="0" collapsed="false">
      <c r="A25" s="8" t="s">
        <v>308</v>
      </c>
      <c r="B25" s="91" t="n">
        <f aca="false">B13/C20</f>
        <v>5.16666666666667</v>
      </c>
      <c r="C25" s="91" t="n">
        <f aca="false">C13/B20</f>
        <v>13.5714285714286</v>
      </c>
      <c r="E25" s="11" t="s">
        <v>309</v>
      </c>
    </row>
    <row r="27" customFormat="false" ht="15" hidden="false" customHeight="true" outlineLevel="0" collapsed="false">
      <c r="A27" s="16" t="s">
        <v>17</v>
      </c>
      <c r="B27" s="17"/>
      <c r="C27" s="17"/>
      <c r="D27" s="17"/>
      <c r="E27" s="17"/>
    </row>
    <row r="28" customFormat="false" ht="15" hidden="false" customHeight="true" outlineLevel="0" collapsed="false">
      <c r="A28" s="8" t="s">
        <v>310</v>
      </c>
      <c r="B28" s="57" t="n">
        <v>31</v>
      </c>
      <c r="C28" s="57" t="n">
        <v>47</v>
      </c>
    </row>
    <row r="29" customFormat="false" ht="15" hidden="false" customHeight="true" outlineLevel="0" collapsed="false">
      <c r="A29" s="8" t="s">
        <v>311</v>
      </c>
      <c r="B29" s="57" t="n">
        <v>4</v>
      </c>
      <c r="C29" s="57" t="n">
        <v>5</v>
      </c>
    </row>
    <row r="30" customFormat="false" ht="15" hidden="false" customHeight="true" outlineLevel="0" collapsed="false">
      <c r="A30" s="8" t="s">
        <v>312</v>
      </c>
      <c r="B30" s="57" t="n">
        <v>26</v>
      </c>
      <c r="C30" s="57" t="n">
        <v>44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4" min="2" style="1" width="12"/>
  </cols>
  <sheetData>
    <row r="1" customFormat="false" ht="17.25" hidden="false" customHeight="true" outlineLevel="0" collapsed="false">
      <c r="A1" s="92" t="s">
        <v>313</v>
      </c>
      <c r="B1" s="92"/>
      <c r="C1" s="92"/>
      <c r="D1" s="92"/>
      <c r="E1" s="92"/>
      <c r="F1" s="92"/>
    </row>
    <row r="2" customFormat="false" ht="15" hidden="false" customHeight="true" outlineLevel="0" collapsed="false">
      <c r="A2" s="93" t="s">
        <v>314</v>
      </c>
      <c r="B2" s="93"/>
      <c r="C2" s="93"/>
      <c r="D2" s="93"/>
      <c r="E2" s="93"/>
      <c r="F2" s="93"/>
    </row>
    <row r="4" customFormat="false" ht="15" hidden="false" customHeight="true" outlineLevel="0" collapsed="false">
      <c r="A4" s="94" t="s">
        <v>315</v>
      </c>
      <c r="B4" s="94"/>
      <c r="C4" s="94"/>
      <c r="D4" s="94"/>
      <c r="E4" s="94"/>
    </row>
    <row r="5" customFormat="false" ht="15" hidden="false" customHeight="true" outlineLevel="0" collapsed="false">
      <c r="A5" s="93" t="s">
        <v>316</v>
      </c>
      <c r="B5" s="93"/>
      <c r="C5" s="93"/>
      <c r="D5" s="93"/>
      <c r="E5" s="93"/>
      <c r="F5" s="93"/>
    </row>
    <row r="6" customFormat="false" ht="15" hidden="false" customHeight="true" outlineLevel="0" collapsed="false">
      <c r="A6" s="93" t="s">
        <v>317</v>
      </c>
      <c r="B6" s="93"/>
      <c r="C6" s="93"/>
      <c r="D6" s="93"/>
      <c r="E6" s="93"/>
      <c r="F6" s="93"/>
      <c r="G6" s="93"/>
      <c r="H6" s="93"/>
    </row>
    <row r="8" customFormat="false" ht="15" hidden="false" customHeight="true" outlineLevel="0" collapsed="false">
      <c r="A8" s="95" t="s">
        <v>318</v>
      </c>
    </row>
    <row r="9" customFormat="false" ht="15" hidden="false" customHeight="true" outlineLevel="0" collapsed="false">
      <c r="A9" s="1" t="s">
        <v>319</v>
      </c>
      <c r="B9" s="96" t="n">
        <v>0.85</v>
      </c>
    </row>
    <row r="10" customFormat="false" ht="15" hidden="false" customHeight="true" outlineLevel="0" collapsed="false">
      <c r="A10" s="1" t="s">
        <v>320</v>
      </c>
      <c r="B10" s="96" t="n">
        <v>0.4</v>
      </c>
    </row>
    <row r="11" customFormat="false" ht="15" hidden="false" customHeight="true" outlineLevel="0" collapsed="false">
      <c r="A11" s="1" t="s">
        <v>321</v>
      </c>
      <c r="B11" s="97" t="n">
        <f aca="false">(B9/0.85)*(137+95+17+105*(B10/0.4))+(44+59)</f>
        <v>457</v>
      </c>
    </row>
    <row r="13" customFormat="false" ht="15" hidden="false" customHeight="true" outlineLevel="0" collapsed="false">
      <c r="A13" s="94" t="s">
        <v>322</v>
      </c>
      <c r="B13" s="94"/>
      <c r="C13" s="94"/>
      <c r="D13" s="94"/>
      <c r="E13" s="94"/>
      <c r="F13" s="94"/>
      <c r="G13" s="94"/>
      <c r="H13" s="94"/>
    </row>
    <row r="15" customFormat="false" ht="15" hidden="false" customHeight="true" outlineLevel="0" collapsed="false">
      <c r="A15" s="98" t="s">
        <v>323</v>
      </c>
      <c r="B15" s="99" t="n">
        <v>0.2</v>
      </c>
      <c r="C15" s="99" t="n">
        <v>0.3</v>
      </c>
      <c r="D15" s="99" t="n">
        <v>0.4</v>
      </c>
      <c r="E15" s="99" t="n">
        <v>0.5</v>
      </c>
      <c r="F15" s="99" t="n">
        <v>0.6</v>
      </c>
    </row>
    <row r="16" customFormat="false" ht="15" hidden="false" customHeight="true" outlineLevel="0" collapsed="false">
      <c r="A16" s="99" t="n">
        <v>0.78</v>
      </c>
      <c r="B16" s="100" t="n">
        <f aca="false">($A16/0.85)*(137+95+17+105*(B$15/0.4))+(44+59)</f>
        <v>379.670588235294</v>
      </c>
      <c r="C16" s="100" t="n">
        <f aca="false">($A16/0.85)*(137+95+17+105*(C$15/0.4))+(44+59)</f>
        <v>403.758823529412</v>
      </c>
      <c r="D16" s="100" t="n">
        <f aca="false">($A16/0.85)*(137+95+17+105*(D$15/0.4))+(44+59)</f>
        <v>427.847058823529</v>
      </c>
      <c r="E16" s="100" t="n">
        <f aca="false">($A16/0.85)*(137+95+17+105*(E$15/0.4))+(44+59)</f>
        <v>451.935294117647</v>
      </c>
      <c r="F16" s="100" t="n">
        <f aca="false">($A16/0.85)*(137+95+17+105*(F$15/0.4))+(44+59)</f>
        <v>476.023529411765</v>
      </c>
    </row>
    <row r="17" customFormat="false" ht="15" hidden="false" customHeight="true" outlineLevel="0" collapsed="false">
      <c r="A17" s="99" t="n">
        <v>0.8</v>
      </c>
      <c r="B17" s="100" t="n">
        <f aca="false">($A17/0.85)*(137+95+17+105*(B$15/0.4))+(44+59)</f>
        <v>386.764705882353</v>
      </c>
      <c r="C17" s="100" t="n">
        <f aca="false">($A17/0.85)*(137+95+17+105*(C$15/0.4))+(44+59)</f>
        <v>411.470588235294</v>
      </c>
      <c r="D17" s="100" t="n">
        <f aca="false">($A17/0.85)*(137+95+17+105*(D$15/0.4))+(44+59)</f>
        <v>436.176470588235</v>
      </c>
      <c r="E17" s="100" t="n">
        <f aca="false">($A17/0.85)*(137+95+17+105*(E$15/0.4))+(44+59)</f>
        <v>460.882352941177</v>
      </c>
      <c r="F17" s="100" t="n">
        <f aca="false">($A17/0.85)*(137+95+17+105*(F$15/0.4))+(44+59)</f>
        <v>485.588235294118</v>
      </c>
    </row>
    <row r="18" customFormat="false" ht="15" hidden="false" customHeight="true" outlineLevel="0" collapsed="false">
      <c r="A18" s="99" t="n">
        <v>0.82</v>
      </c>
      <c r="B18" s="100" t="n">
        <f aca="false">($A18/0.85)*(137+95+17+105*(B$15/0.4))+(44+59)</f>
        <v>393.858823529412</v>
      </c>
      <c r="C18" s="100" t="n">
        <f aca="false">($A18/0.85)*(137+95+17+105*(C$15/0.4))+(44+59)</f>
        <v>419.182352941177</v>
      </c>
      <c r="D18" s="100" t="n">
        <f aca="false">($A18/0.85)*(137+95+17+105*(D$15/0.4))+(44+59)</f>
        <v>444.505882352941</v>
      </c>
      <c r="E18" s="100" t="n">
        <f aca="false">($A18/0.85)*(137+95+17+105*(E$15/0.4))+(44+59)</f>
        <v>469.829411764706</v>
      </c>
      <c r="F18" s="100" t="n">
        <f aca="false">($A18/0.85)*(137+95+17+105*(F$15/0.4))+(44+59)</f>
        <v>495.152941176471</v>
      </c>
    </row>
    <row r="19" customFormat="false" ht="15" hidden="false" customHeight="true" outlineLevel="0" collapsed="false">
      <c r="A19" s="99" t="n">
        <v>0.85</v>
      </c>
      <c r="B19" s="100" t="n">
        <f aca="false">($A19/0.85)*(137+95+17+105*(B$15/0.4))+(44+59)</f>
        <v>404.5</v>
      </c>
      <c r="C19" s="100" t="n">
        <f aca="false">($A19/0.85)*(137+95+17+105*(C$15/0.4))+(44+59)</f>
        <v>430.75</v>
      </c>
      <c r="D19" s="101" t="n">
        <f aca="false">($A19/0.85)*(137+95+17+105*(D$15/0.4))+(44+59)</f>
        <v>457</v>
      </c>
      <c r="E19" s="100" t="n">
        <f aca="false">($A19/0.85)*(137+95+17+105*(E$15/0.4))+(44+59)</f>
        <v>483.25</v>
      </c>
      <c r="F19" s="100" t="n">
        <f aca="false">($A19/0.85)*(137+95+17+105*(F$15/0.4))+(44+59)</f>
        <v>509.5</v>
      </c>
    </row>
    <row r="20" customFormat="false" ht="15" hidden="false" customHeight="true" outlineLevel="0" collapsed="false">
      <c r="A20" s="99" t="n">
        <v>0.87</v>
      </c>
      <c r="B20" s="100" t="n">
        <f aca="false">($A20/0.85)*(137+95+17+105*(B$15/0.4))+(44+59)</f>
        <v>411.594117647059</v>
      </c>
      <c r="C20" s="100" t="n">
        <f aca="false">($A20/0.85)*(137+95+17+105*(C$15/0.4))+(44+59)</f>
        <v>438.461764705882</v>
      </c>
      <c r="D20" s="100" t="n">
        <f aca="false">($A20/0.85)*(137+95+17+105*(D$15/0.4))+(44+59)</f>
        <v>465.329411764706</v>
      </c>
      <c r="E20" s="100" t="n">
        <f aca="false">($A20/0.85)*(137+95+17+105*(E$15/0.4))+(44+59)</f>
        <v>492.197058823529</v>
      </c>
      <c r="F20" s="100" t="n">
        <f aca="false">($A20/0.85)*(137+95+17+105*(F$15/0.4))+(44+59)</f>
        <v>519.064705882353</v>
      </c>
    </row>
    <row r="21" customFormat="false" ht="15" hidden="false" customHeight="true" outlineLevel="0" collapsed="false">
      <c r="A21" s="99" t="n">
        <v>0.9</v>
      </c>
      <c r="B21" s="100" t="n">
        <f aca="false">($A21/0.85)*(137+95+17+105*(B$15/0.4))+(44+59)</f>
        <v>422.235294117647</v>
      </c>
      <c r="C21" s="100" t="n">
        <f aca="false">($A21/0.85)*(137+95+17+105*(C$15/0.4))+(44+59)</f>
        <v>450.029411764706</v>
      </c>
      <c r="D21" s="100" t="n">
        <f aca="false">($A21/0.85)*(137+95+17+105*(D$15/0.4))+(44+59)</f>
        <v>477.823529411765</v>
      </c>
      <c r="E21" s="100" t="n">
        <f aca="false">($A21/0.85)*(137+95+17+105*(E$15/0.4))+(44+59)</f>
        <v>505.617647058824</v>
      </c>
      <c r="F21" s="100" t="n">
        <f aca="false">($A21/0.85)*(137+95+17+105*(F$15/0.4))+(44+59)</f>
        <v>533.411764705882</v>
      </c>
    </row>
    <row r="23" customFormat="false" ht="15" hidden="false" customHeight="true" outlineLevel="0" collapsed="false">
      <c r="A23" s="93" t="s">
        <v>324</v>
      </c>
      <c r="B23" s="93"/>
      <c r="C23" s="93"/>
      <c r="D23" s="93"/>
      <c r="E23" s="93"/>
      <c r="F23" s="93"/>
      <c r="G23" s="93"/>
      <c r="H23" s="93"/>
    </row>
    <row r="25" customFormat="false" ht="15" hidden="false" customHeight="true" outlineLevel="0" collapsed="false">
      <c r="A25" s="94" t="s">
        <v>325</v>
      </c>
      <c r="B25" s="94"/>
      <c r="C25" s="94"/>
      <c r="D25" s="94"/>
      <c r="E25" s="94"/>
    </row>
    <row r="26" customFormat="false" ht="15" hidden="false" customHeight="true" outlineLevel="0" collapsed="false">
      <c r="A26" s="1" t="s">
        <v>326</v>
      </c>
      <c r="B26" s="102" t="n">
        <f aca="false">B16</f>
        <v>379.670588235294</v>
      </c>
    </row>
    <row r="27" customFormat="false" ht="15" hidden="false" customHeight="true" outlineLevel="0" collapsed="false">
      <c r="A27" s="1" t="s">
        <v>327</v>
      </c>
      <c r="B27" s="103" t="n">
        <f aca="false">D19</f>
        <v>457</v>
      </c>
    </row>
    <row r="28" customFormat="false" ht="15" hidden="false" customHeight="true" outlineLevel="0" collapsed="false">
      <c r="A28" s="1" t="s">
        <v>328</v>
      </c>
      <c r="B28" s="104" t="n">
        <f aca="false">F21</f>
        <v>533.411764705882</v>
      </c>
    </row>
    <row r="29" customFormat="false" ht="15" hidden="false" customHeight="true" outlineLevel="0" collapsed="false">
      <c r="A29" s="1" t="s">
        <v>329</v>
      </c>
      <c r="B29" s="105" t="n">
        <f aca="false">B28-B26</f>
        <v>153.741176470588</v>
      </c>
    </row>
    <row r="30" customFormat="false" ht="15" hidden="false" customHeight="true" outlineLevel="0" collapsed="false">
      <c r="A30" s="1" t="s">
        <v>330</v>
      </c>
      <c r="B30" s="106" t="n">
        <f aca="false">B29/B27</f>
        <v>0.33641395288969</v>
      </c>
    </row>
    <row r="32" customFormat="false" ht="15" hidden="false" customHeight="true" outlineLevel="0" collapsed="false">
      <c r="A32" s="94" t="s">
        <v>331</v>
      </c>
      <c r="B32" s="94"/>
      <c r="C32" s="94"/>
      <c r="D32" s="94"/>
      <c r="E32" s="94"/>
    </row>
    <row r="33" customFormat="false" ht="15" hidden="false" customHeight="true" outlineLevel="0" collapsed="false">
      <c r="A33" s="107" t="s">
        <v>332</v>
      </c>
    </row>
    <row r="34" customFormat="false" ht="15" hidden="false" customHeight="true" outlineLevel="0" collapsed="false">
      <c r="A34" s="93" t="s">
        <v>333</v>
      </c>
      <c r="B34" s="93"/>
      <c r="C34" s="93"/>
      <c r="D34" s="93"/>
      <c r="E34" s="93"/>
      <c r="F34" s="93"/>
      <c r="G34" s="93"/>
      <c r="H34" s="93"/>
    </row>
  </sheetData>
  <mergeCells count="10">
    <mergeCell ref="A1:F1"/>
    <mergeCell ref="A2:F2"/>
    <mergeCell ref="A4:E4"/>
    <mergeCell ref="A5:F5"/>
    <mergeCell ref="A6:H6"/>
    <mergeCell ref="A13:H13"/>
    <mergeCell ref="A23:H23"/>
    <mergeCell ref="A25:E25"/>
    <mergeCell ref="A32:E32"/>
    <mergeCell ref="A34:H34"/>
  </mergeCells>
  <conditionalFormatting sqref="B16:F2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2"/>
    <col collapsed="false" customWidth="true" hidden="false" outlineLevel="0" max="7" min="5" style="1" width="14"/>
    <col collapsed="false" customWidth="true" hidden="false" outlineLevel="0" max="8" min="8" style="1" width="38"/>
  </cols>
  <sheetData>
    <row r="1" customFormat="false" ht="17.25" hidden="false" customHeight="true" outlineLevel="0" collapsed="false">
      <c r="A1" s="92" t="s">
        <v>334</v>
      </c>
      <c r="B1" s="92"/>
      <c r="C1" s="92"/>
      <c r="D1" s="92"/>
      <c r="E1" s="92"/>
      <c r="F1" s="92"/>
      <c r="G1" s="92"/>
    </row>
    <row r="2" customFormat="false" ht="15" hidden="false" customHeight="true" outlineLevel="0" collapsed="false">
      <c r="A2" s="93" t="s">
        <v>335</v>
      </c>
      <c r="B2" s="93"/>
      <c r="C2" s="93"/>
      <c r="D2" s="93"/>
      <c r="E2" s="93"/>
      <c r="F2" s="93"/>
      <c r="G2" s="93"/>
      <c r="H2" s="93"/>
    </row>
    <row r="3" customFormat="false" ht="15" hidden="false" customHeight="true" outlineLevel="0" collapsed="false">
      <c r="J3" s="108" t="s">
        <v>336</v>
      </c>
    </row>
    <row r="4" customFormat="false" ht="15" hidden="false" customHeight="true" outlineLevel="0" collapsed="false">
      <c r="A4" s="98" t="s">
        <v>337</v>
      </c>
      <c r="B4" s="98" t="s">
        <v>6</v>
      </c>
      <c r="C4" s="98" t="s">
        <v>52</v>
      </c>
      <c r="D4" s="98" t="s">
        <v>53</v>
      </c>
      <c r="E4" s="98" t="s">
        <v>338</v>
      </c>
      <c r="F4" s="98" t="s">
        <v>339</v>
      </c>
      <c r="G4" s="98" t="s">
        <v>340</v>
      </c>
      <c r="H4" s="98" t="s">
        <v>341</v>
      </c>
    </row>
    <row r="5" customFormat="false" ht="15" hidden="false" customHeight="true" outlineLevel="0" collapsed="false">
      <c r="A5" s="109" t="s">
        <v>319</v>
      </c>
      <c r="B5" s="110" t="n">
        <v>0.85</v>
      </c>
      <c r="C5" s="110" t="n">
        <v>0.68</v>
      </c>
      <c r="D5" s="110" t="n">
        <v>1</v>
      </c>
      <c r="E5" s="111" t="n">
        <v>386.6</v>
      </c>
      <c r="F5" s="111" t="n">
        <v>519.704</v>
      </c>
      <c r="G5" s="112" t="n">
        <f aca="false">ABS(F5-E5)</f>
        <v>133.104</v>
      </c>
      <c r="H5" s="113" t="s">
        <v>342</v>
      </c>
    </row>
    <row r="6" customFormat="false" ht="15" hidden="false" customHeight="true" outlineLevel="0" collapsed="false">
      <c r="A6" s="109" t="s">
        <v>343</v>
      </c>
      <c r="B6" s="110" t="n">
        <v>0.4</v>
      </c>
      <c r="C6" s="110" t="n">
        <v>0.32</v>
      </c>
      <c r="D6" s="110" t="n">
        <v>0.48</v>
      </c>
      <c r="E6" s="111" t="n">
        <v>436.4</v>
      </c>
      <c r="F6" s="111" t="n">
        <v>478.4</v>
      </c>
      <c r="G6" s="112" t="n">
        <f aca="false">ABS(F6-E6)</f>
        <v>42</v>
      </c>
      <c r="H6" s="113" t="s">
        <v>344</v>
      </c>
    </row>
    <row r="7" customFormat="false" ht="15" hidden="false" customHeight="true" outlineLevel="0" collapsed="false">
      <c r="A7" s="109" t="s">
        <v>345</v>
      </c>
      <c r="B7" s="110" t="n">
        <v>0.3</v>
      </c>
      <c r="C7" s="110" t="n">
        <v>0.24</v>
      </c>
      <c r="D7" s="110" t="n">
        <v>0.36</v>
      </c>
      <c r="E7" s="111" t="n">
        <v>448.6</v>
      </c>
      <c r="F7" s="111" t="n">
        <v>466.2</v>
      </c>
      <c r="G7" s="112" t="n">
        <f aca="false">ABS(F7-E7)</f>
        <v>17.6</v>
      </c>
      <c r="H7" s="113" t="s">
        <v>346</v>
      </c>
    </row>
    <row r="8" customFormat="false" ht="15" hidden="false" customHeight="true" outlineLevel="0" collapsed="false">
      <c r="A8" s="109" t="s">
        <v>347</v>
      </c>
      <c r="B8" s="110" t="n">
        <v>1.5</v>
      </c>
      <c r="C8" s="110" t="n">
        <v>1.2</v>
      </c>
      <c r="D8" s="110" t="n">
        <v>1.8</v>
      </c>
      <c r="E8" s="111" t="n">
        <v>450.8</v>
      </c>
      <c r="F8" s="111" t="n">
        <v>464</v>
      </c>
      <c r="G8" s="112" t="n">
        <f aca="false">ABS(F8-E8)</f>
        <v>13.2</v>
      </c>
      <c r="H8" s="113" t="s">
        <v>348</v>
      </c>
    </row>
    <row r="9" customFormat="false" ht="15" hidden="false" customHeight="true" outlineLevel="0" collapsed="false">
      <c r="A9" s="109" t="s">
        <v>349</v>
      </c>
      <c r="B9" s="110" t="n">
        <v>0.04</v>
      </c>
      <c r="C9" s="110" t="n">
        <v>0.032</v>
      </c>
      <c r="D9" s="110" t="n">
        <v>0.048</v>
      </c>
      <c r="E9" s="111" t="n">
        <v>462.12</v>
      </c>
      <c r="F9" s="111" t="n">
        <v>452.68</v>
      </c>
      <c r="G9" s="112" t="n">
        <f aca="false">ABS(F9-E9)</f>
        <v>9.44</v>
      </c>
      <c r="H9" s="113" t="s">
        <v>350</v>
      </c>
    </row>
    <row r="10" customFormat="false" ht="15" hidden="false" customHeight="true" outlineLevel="0" collapsed="false">
      <c r="A10" s="109" t="s">
        <v>351</v>
      </c>
      <c r="B10" s="110" t="n">
        <v>0.25</v>
      </c>
      <c r="C10" s="110" t="n">
        <v>0.2</v>
      </c>
      <c r="D10" s="110" t="n">
        <v>0.3</v>
      </c>
      <c r="E10" s="111" t="n">
        <v>461.8</v>
      </c>
      <c r="F10" s="111" t="n">
        <v>453</v>
      </c>
      <c r="G10" s="112" t="n">
        <f aca="false">ABS(F10-E10)</f>
        <v>8.80000000000001</v>
      </c>
      <c r="H10" s="113" t="s">
        <v>352</v>
      </c>
    </row>
    <row r="11" customFormat="false" ht="15" hidden="false" customHeight="true" outlineLevel="0" collapsed="false">
      <c r="A11" s="109" t="s">
        <v>353</v>
      </c>
      <c r="B11" s="110" t="n">
        <v>0.62</v>
      </c>
      <c r="C11" s="110" t="n">
        <v>0.496</v>
      </c>
      <c r="D11" s="110" t="n">
        <v>0.744</v>
      </c>
      <c r="E11" s="111" t="n">
        <v>453</v>
      </c>
      <c r="F11" s="111" t="n">
        <v>461.8</v>
      </c>
      <c r="G11" s="112" t="n">
        <f aca="false">ABS(F11-E11)</f>
        <v>8.80000000000001</v>
      </c>
      <c r="H11" s="113" t="s">
        <v>354</v>
      </c>
    </row>
    <row r="12" customFormat="false" ht="15" hidden="false" customHeight="true" outlineLevel="0" collapsed="false">
      <c r="A12" s="109" t="s">
        <v>355</v>
      </c>
      <c r="B12" s="110" t="n">
        <v>0.5</v>
      </c>
      <c r="C12" s="110" t="n">
        <v>0.4</v>
      </c>
      <c r="D12" s="110" t="n">
        <v>0.6</v>
      </c>
      <c r="E12" s="111" t="n">
        <v>455.7</v>
      </c>
      <c r="F12" s="111" t="n">
        <v>459.1</v>
      </c>
      <c r="G12" s="112" t="n">
        <f aca="false">ABS(F12-E12)</f>
        <v>3.40000000000003</v>
      </c>
      <c r="H12" s="113" t="s">
        <v>356</v>
      </c>
    </row>
    <row r="13" customFormat="false" ht="15" hidden="false" customHeight="true" outlineLevel="0" collapsed="false">
      <c r="A13" s="109" t="s">
        <v>357</v>
      </c>
      <c r="B13" s="110" t="n">
        <v>0.3</v>
      </c>
      <c r="C13" s="110" t="n">
        <v>0.24</v>
      </c>
      <c r="D13" s="110" t="n">
        <v>0.36</v>
      </c>
      <c r="E13" s="111" t="n">
        <v>456.55</v>
      </c>
      <c r="F13" s="111" t="n">
        <v>458.25</v>
      </c>
      <c r="G13" s="112" t="n">
        <f aca="false">ABS(F13-E13)</f>
        <v>1.69999999999999</v>
      </c>
      <c r="H13" s="113" t="s">
        <v>358</v>
      </c>
    </row>
    <row r="16" customFormat="false" ht="15" hidden="false" customHeight="true" outlineLevel="0" collapsed="false">
      <c r="A16" s="94" t="s">
        <v>359</v>
      </c>
      <c r="B16" s="94"/>
      <c r="C16" s="94"/>
      <c r="D16" s="94"/>
      <c r="E16" s="94"/>
      <c r="F16" s="94"/>
      <c r="G16" s="94"/>
      <c r="H16" s="94"/>
    </row>
    <row r="17" customFormat="false" ht="15" hidden="false" customHeight="true" outlineLevel="0" collapsed="false">
      <c r="A17" s="93" t="s">
        <v>360</v>
      </c>
      <c r="B17" s="93"/>
      <c r="C17" s="93"/>
      <c r="D17" s="93"/>
      <c r="E17" s="93"/>
      <c r="F17" s="93"/>
      <c r="G17" s="93"/>
      <c r="H17" s="93"/>
    </row>
    <row r="18" customFormat="false" ht="15" hidden="false" customHeight="true" outlineLevel="0" collapsed="false">
      <c r="A18" s="93" t="s">
        <v>361</v>
      </c>
      <c r="B18" s="93"/>
      <c r="C18" s="93"/>
      <c r="D18" s="93"/>
      <c r="E18" s="93"/>
      <c r="F18" s="93"/>
      <c r="G18" s="93"/>
      <c r="H18" s="93"/>
    </row>
    <row r="19" customFormat="false" ht="15" hidden="false" customHeight="true" outlineLevel="0" collapsed="false">
      <c r="A19" s="93" t="s">
        <v>362</v>
      </c>
      <c r="B19" s="93"/>
      <c r="C19" s="93"/>
      <c r="D19" s="93"/>
      <c r="E19" s="93"/>
      <c r="F19" s="93"/>
      <c r="G19" s="93"/>
      <c r="H19" s="93"/>
    </row>
    <row r="20" customFormat="false" ht="15" hidden="false" customHeight="true" outlineLevel="0" collapsed="false">
      <c r="A20" s="93" t="s">
        <v>363</v>
      </c>
      <c r="B20" s="93"/>
      <c r="C20" s="93"/>
      <c r="D20" s="93"/>
      <c r="E20" s="93"/>
      <c r="F20" s="93"/>
      <c r="G20" s="93"/>
      <c r="H20" s="93"/>
    </row>
    <row r="21" customFormat="false" ht="15" hidden="false" customHeight="true" outlineLevel="0" collapsed="false">
      <c r="A21" s="93" t="s">
        <v>364</v>
      </c>
      <c r="B21" s="93"/>
      <c r="C21" s="93"/>
      <c r="D21" s="93"/>
      <c r="E21" s="93"/>
      <c r="F21" s="93"/>
      <c r="G21" s="93"/>
      <c r="H21" s="93"/>
    </row>
    <row r="22" customFormat="false" ht="15" hidden="false" customHeight="true" outlineLevel="0" collapsed="false">
      <c r="A22" s="93" t="s">
        <v>365</v>
      </c>
      <c r="B22" s="93"/>
      <c r="C22" s="93"/>
      <c r="D22" s="93"/>
      <c r="E22" s="93"/>
      <c r="F22" s="93"/>
      <c r="G22" s="93"/>
      <c r="H22" s="93"/>
    </row>
  </sheetData>
  <mergeCells count="9">
    <mergeCell ref="A1:G1"/>
    <mergeCell ref="A2:H2"/>
    <mergeCell ref="A16:H16"/>
    <mergeCell ref="A17:H17"/>
    <mergeCell ref="A18:H18"/>
    <mergeCell ref="A19:H19"/>
    <mergeCell ref="A20:H20"/>
    <mergeCell ref="A21:H21"/>
    <mergeCell ref="A22:H22"/>
  </mergeCells>
  <conditionalFormatting sqref="G5:G13">
    <cfRule type="colorScale" priority="2">
      <colorScale>
        <cfvo type="min" val="0"/>
        <cfvo type="max" val="0"/>
        <color rgb="FFC6EFCE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92" t="s">
        <v>366</v>
      </c>
      <c r="B1" s="92"/>
      <c r="C1" s="92"/>
      <c r="D1" s="92"/>
      <c r="E1" s="92"/>
      <c r="F1" s="92"/>
    </row>
    <row r="2" customFormat="false" ht="15" hidden="false" customHeight="true" outlineLevel="0" collapsed="false">
      <c r="A2" s="93" t="s">
        <v>367</v>
      </c>
      <c r="B2" s="93"/>
      <c r="C2" s="93"/>
      <c r="D2" s="93"/>
      <c r="E2" s="93"/>
      <c r="F2" s="93"/>
      <c r="G2" s="93"/>
      <c r="H2" s="93"/>
    </row>
    <row r="3" customFormat="false" ht="15" hidden="false" customHeight="true" outlineLevel="0" collapsed="false">
      <c r="J3" s="108" t="s">
        <v>368</v>
      </c>
    </row>
    <row r="4" customFormat="false" ht="15" hidden="false" customHeight="true" outlineLevel="0" collapsed="false">
      <c r="A4" s="94" t="s">
        <v>369</v>
      </c>
      <c r="B4" s="94"/>
      <c r="C4" s="94"/>
      <c r="D4" s="94"/>
      <c r="E4" s="94"/>
      <c r="F4" s="94"/>
      <c r="G4" s="94"/>
      <c r="H4" s="94"/>
    </row>
    <row r="5" customFormat="false" ht="15" hidden="false" customHeight="true" outlineLevel="0" collapsed="false">
      <c r="A5" s="114" t="s">
        <v>49</v>
      </c>
      <c r="B5" s="114" t="s">
        <v>370</v>
      </c>
      <c r="C5" s="114" t="s">
        <v>371</v>
      </c>
      <c r="D5" s="114" t="s">
        <v>372</v>
      </c>
      <c r="E5" s="114" t="s">
        <v>373</v>
      </c>
      <c r="F5" s="114" t="s">
        <v>374</v>
      </c>
      <c r="H5" s="114" t="s">
        <v>375</v>
      </c>
    </row>
    <row r="6" customFormat="false" ht="15" hidden="false" customHeight="true" outlineLevel="0" collapsed="false">
      <c r="A6" s="109" t="s">
        <v>319</v>
      </c>
      <c r="B6" s="115" t="n">
        <v>0.85</v>
      </c>
      <c r="C6" s="115" t="n">
        <v>0.035</v>
      </c>
      <c r="D6" s="115" t="n">
        <v>0.78</v>
      </c>
      <c r="E6" s="115" t="n">
        <v>0.92</v>
      </c>
      <c r="F6" s="116" t="s">
        <v>376</v>
      </c>
      <c r="G6" s="109" t="s">
        <v>377</v>
      </c>
    </row>
    <row r="7" customFormat="false" ht="15" hidden="false" customHeight="true" outlineLevel="0" collapsed="false">
      <c r="A7" s="109" t="s">
        <v>343</v>
      </c>
      <c r="B7" s="115" t="n">
        <v>0.4</v>
      </c>
      <c r="C7" s="115" t="n">
        <v>0.1</v>
      </c>
      <c r="D7" s="115" t="n">
        <v>0.2</v>
      </c>
      <c r="E7" s="115" t="n">
        <v>0.6</v>
      </c>
      <c r="F7" s="116" t="s">
        <v>376</v>
      </c>
      <c r="G7" s="109" t="s">
        <v>378</v>
      </c>
    </row>
    <row r="8" customFormat="false" ht="15" hidden="false" customHeight="true" outlineLevel="0" collapsed="false">
      <c r="A8" s="109" t="s">
        <v>379</v>
      </c>
      <c r="B8" s="115" t="n">
        <v>0.3</v>
      </c>
      <c r="C8" s="115" t="n">
        <v>0.05</v>
      </c>
      <c r="D8" s="115" t="n">
        <v>0.2</v>
      </c>
      <c r="E8" s="115" t="n">
        <v>0.4</v>
      </c>
      <c r="F8" s="116" t="s">
        <v>376</v>
      </c>
      <c r="G8" s="109" t="s">
        <v>380</v>
      </c>
    </row>
    <row r="9" customFormat="false" ht="15" hidden="false" customHeight="true" outlineLevel="0" collapsed="false">
      <c r="A9" s="109" t="s">
        <v>347</v>
      </c>
      <c r="B9" s="115" t="n">
        <v>1.5</v>
      </c>
      <c r="C9" s="115" t="n">
        <v>0.15</v>
      </c>
      <c r="D9" s="115" t="n">
        <v>1.2</v>
      </c>
      <c r="E9" s="115" t="n">
        <v>1.8</v>
      </c>
      <c r="F9" s="116" t="s">
        <v>376</v>
      </c>
      <c r="G9" s="109" t="s">
        <v>381</v>
      </c>
    </row>
    <row r="10" customFormat="false" ht="15" hidden="false" customHeight="true" outlineLevel="0" collapsed="false">
      <c r="A10" s="109" t="s">
        <v>351</v>
      </c>
      <c r="B10" s="115" t="n">
        <v>0.25</v>
      </c>
      <c r="C10" s="115" t="n">
        <v>0.05</v>
      </c>
      <c r="D10" s="115" t="n">
        <v>0.15</v>
      </c>
      <c r="E10" s="115" t="n">
        <v>0.35</v>
      </c>
      <c r="F10" s="116" t="s">
        <v>376</v>
      </c>
      <c r="G10" s="109" t="s">
        <v>382</v>
      </c>
    </row>
    <row r="11" customFormat="false" ht="15" hidden="false" customHeight="true" outlineLevel="0" collapsed="false">
      <c r="A11" s="109" t="s">
        <v>353</v>
      </c>
      <c r="B11" s="115" t="n">
        <v>0.62</v>
      </c>
      <c r="C11" s="115" t="n">
        <v>0.06</v>
      </c>
      <c r="D11" s="115" t="n">
        <v>0.5</v>
      </c>
      <c r="E11" s="115" t="n">
        <v>0.75</v>
      </c>
      <c r="F11" s="116" t="s">
        <v>376</v>
      </c>
      <c r="G11" s="109" t="s">
        <v>383</v>
      </c>
    </row>
    <row r="12" customFormat="false" ht="15" hidden="false" customHeight="true" outlineLevel="0" collapsed="false">
      <c r="A12" s="109" t="s">
        <v>349</v>
      </c>
      <c r="B12" s="115" t="n">
        <v>0.04</v>
      </c>
      <c r="C12" s="115" t="n">
        <v>0.008</v>
      </c>
      <c r="D12" s="115" t="n">
        <v>0.025</v>
      </c>
      <c r="E12" s="115" t="n">
        <v>0.06</v>
      </c>
      <c r="F12" s="116" t="s">
        <v>376</v>
      </c>
      <c r="G12" s="109" t="s">
        <v>384</v>
      </c>
    </row>
    <row r="15" customFormat="false" ht="15" hidden="false" customHeight="true" outlineLevel="0" collapsed="false">
      <c r="A15" s="94" t="s">
        <v>385</v>
      </c>
      <c r="B15" s="94"/>
      <c r="C15" s="94"/>
      <c r="D15" s="94"/>
      <c r="E15" s="94"/>
      <c r="F15" s="94"/>
      <c r="G15" s="94"/>
      <c r="H15" s="94"/>
    </row>
    <row r="16" customFormat="false" ht="15" hidden="false" customHeight="true" outlineLevel="0" collapsed="false">
      <c r="A16" s="93" t="s">
        <v>386</v>
      </c>
      <c r="B16" s="93"/>
      <c r="C16" s="93"/>
      <c r="D16" s="93"/>
      <c r="E16" s="93"/>
      <c r="F16" s="93"/>
      <c r="G16" s="93"/>
      <c r="H16" s="93"/>
    </row>
    <row r="18" customFormat="false" ht="15" hidden="false" customHeight="true" outlineLevel="0" collapsed="false">
      <c r="A18" s="95" t="s">
        <v>387</v>
      </c>
      <c r="B18" s="117" t="s">
        <v>388</v>
      </c>
      <c r="C18" s="117" t="s">
        <v>389</v>
      </c>
      <c r="D18" s="117" t="s">
        <v>390</v>
      </c>
      <c r="E18" s="117" t="s">
        <v>105</v>
      </c>
      <c r="F18" s="117" t="s">
        <v>391</v>
      </c>
      <c r="G18" s="117" t="s">
        <v>392</v>
      </c>
      <c r="H18" s="117" t="s">
        <v>393</v>
      </c>
    </row>
    <row r="19" customFormat="false" ht="15" hidden="false" customHeight="true" outlineLevel="0" collapsed="false">
      <c r="A19" s="1" t="s">
        <v>394</v>
      </c>
      <c r="B19" s="118" t="n">
        <f aca="true">MAX(0.78,MIN(0.92,NORMINV(RAND(),0.85,0.035)))</f>
        <v>0.88373406015481</v>
      </c>
      <c r="C19" s="118" t="n">
        <f aca="true">MAX(0.2,MIN(0.6,NORMINV(RAND(),0.4,0.1)))</f>
        <v>0.398537615624611</v>
      </c>
      <c r="D19" s="118" t="n">
        <f aca="true">MAX(0.2,MIN(0.4,NORMINV(RAND(),0.3,0.05)))</f>
        <v>0.320198077386841</v>
      </c>
      <c r="E19" s="118" t="n">
        <f aca="true">MAX(1.2,MIN(1.8,NORMINV(RAND(),1.5,0.15)))</f>
        <v>1.49283401634879</v>
      </c>
      <c r="F19" s="118" t="n">
        <f aca="true">MAX(0.15,MIN(0.35,NORMINV(RAND(),0.25,0.05)))</f>
        <v>0.177943948925304</v>
      </c>
      <c r="G19" s="118" t="n">
        <f aca="true">MAX(0.5,MIN(0.75,NORMINV(RAND(),0.62,0.06)))</f>
        <v>0.657756082951587</v>
      </c>
      <c r="H19" s="118" t="n">
        <f aca="true">MAX(0.025,MIN(0.06,NORMINV(RAND(),0.04,0.008)))</f>
        <v>0.025</v>
      </c>
    </row>
    <row r="21" customFormat="false" ht="15" hidden="false" customHeight="true" outlineLevel="0" collapsed="false">
      <c r="A21" s="95" t="s">
        <v>395</v>
      </c>
      <c r="B21" s="117" t="s">
        <v>396</v>
      </c>
      <c r="C21" s="117" t="s">
        <v>397</v>
      </c>
      <c r="D21" s="117" t="s">
        <v>398</v>
      </c>
      <c r="E21" s="117" t="s">
        <v>399</v>
      </c>
      <c r="F21" s="117" t="s">
        <v>400</v>
      </c>
      <c r="G21" s="117" t="s">
        <v>401</v>
      </c>
      <c r="H21" s="117" t="s">
        <v>37</v>
      </c>
    </row>
    <row r="22" customFormat="false" ht="15" hidden="false" customHeight="true" outlineLevel="0" collapsed="false">
      <c r="A22" s="1" t="s">
        <v>402</v>
      </c>
      <c r="B22" s="119" t="n">
        <f aca="false">137*(B19/0.85)</f>
        <v>142.437136754364</v>
      </c>
      <c r="C22" s="119" t="n">
        <f aca="false">95*(B19/0.85)</f>
        <v>98.77027731142</v>
      </c>
      <c r="D22" s="119" t="n">
        <f aca="false">105*(B19/0.85)*(C19/0.4)</f>
        <v>108.768037776286</v>
      </c>
      <c r="E22" s="119" t="n">
        <f aca="false">44*(D19/0.3)*(E19/1.5)*((1-F19)/0.75)*(G19/0.62)</f>
        <v>54.3480236703792</v>
      </c>
      <c r="F22" s="119" t="n">
        <f aca="false">17*(B19/0.85)</f>
        <v>17.6746812030962</v>
      </c>
      <c r="G22" s="119" t="n">
        <f aca="false">59*(0.04/H19)</f>
        <v>94.4</v>
      </c>
      <c r="H22" s="120" t="n">
        <f aca="false">SUM(B22:G22)</f>
        <v>516.398156715545</v>
      </c>
    </row>
    <row r="25" customFormat="false" ht="15" hidden="false" customHeight="true" outlineLevel="0" collapsed="false">
      <c r="A25" s="94" t="s">
        <v>403</v>
      </c>
      <c r="B25" s="94"/>
      <c r="C25" s="94"/>
      <c r="D25" s="94"/>
      <c r="E25" s="94"/>
      <c r="F25" s="94"/>
      <c r="G25" s="94"/>
      <c r="H25" s="94"/>
    </row>
    <row r="26" customFormat="false" ht="15" hidden="false" customHeight="true" outlineLevel="0" collapsed="false">
      <c r="A26" s="93" t="s">
        <v>404</v>
      </c>
      <c r="B26" s="93"/>
      <c r="C26" s="93"/>
      <c r="D26" s="93"/>
      <c r="E26" s="93"/>
      <c r="F26" s="93"/>
      <c r="G26" s="93"/>
      <c r="H26" s="93"/>
    </row>
    <row r="28" customFormat="false" ht="15" hidden="false" customHeight="true" outlineLevel="0" collapsed="false">
      <c r="A28" s="114" t="s">
        <v>405</v>
      </c>
      <c r="B28" s="114" t="s">
        <v>406</v>
      </c>
      <c r="C28" s="114" t="s">
        <v>407</v>
      </c>
      <c r="D28" s="114" t="s">
        <v>408</v>
      </c>
      <c r="E28" s="114" t="s">
        <v>409</v>
      </c>
      <c r="F28" s="114" t="s">
        <v>410</v>
      </c>
      <c r="G28" s="114" t="s">
        <v>370</v>
      </c>
      <c r="H28" s="114" t="s">
        <v>371</v>
      </c>
    </row>
    <row r="29" customFormat="false" ht="15" hidden="false" customHeight="true" outlineLevel="0" collapsed="false">
      <c r="A29" s="121" t="s">
        <v>148</v>
      </c>
      <c r="B29" s="120" t="n">
        <v>409.9</v>
      </c>
      <c r="C29" s="120" t="n">
        <v>437.3</v>
      </c>
      <c r="D29" s="120" t="n">
        <v>457.5</v>
      </c>
      <c r="E29" s="120" t="n">
        <v>478.6</v>
      </c>
      <c r="F29" s="120" t="n">
        <v>509.2</v>
      </c>
      <c r="G29" s="120" t="n">
        <v>458.3</v>
      </c>
      <c r="H29" s="120" t="n">
        <v>30.1</v>
      </c>
    </row>
    <row r="31" customFormat="false" ht="15" hidden="false" customHeight="true" outlineLevel="0" collapsed="false">
      <c r="A31" s="109" t="s">
        <v>411</v>
      </c>
      <c r="B31" s="122" t="n">
        <v>128.7</v>
      </c>
      <c r="C31" s="123" t="s">
        <v>412</v>
      </c>
      <c r="D31" s="122" t="n">
        <v>137</v>
      </c>
      <c r="E31" s="123" t="s">
        <v>412</v>
      </c>
      <c r="F31" s="122" t="n">
        <v>145.3</v>
      </c>
      <c r="G31" s="122" t="n">
        <v>137</v>
      </c>
      <c r="H31" s="122" t="n">
        <v>5</v>
      </c>
    </row>
    <row r="32" customFormat="false" ht="15" hidden="false" customHeight="true" outlineLevel="0" collapsed="false">
      <c r="A32" s="109" t="s">
        <v>413</v>
      </c>
      <c r="B32" s="122" t="n">
        <v>89.2</v>
      </c>
      <c r="C32" s="123" t="s">
        <v>412</v>
      </c>
      <c r="D32" s="122" t="n">
        <v>95</v>
      </c>
      <c r="E32" s="123" t="s">
        <v>412</v>
      </c>
      <c r="F32" s="122" t="n">
        <v>100.8</v>
      </c>
      <c r="G32" s="122" t="n">
        <v>95</v>
      </c>
      <c r="H32" s="122" t="n">
        <v>3.4</v>
      </c>
    </row>
    <row r="33" customFormat="false" ht="15" hidden="false" customHeight="true" outlineLevel="0" collapsed="false">
      <c r="A33" s="109" t="s">
        <v>414</v>
      </c>
      <c r="B33" s="122" t="n">
        <v>66.2</v>
      </c>
      <c r="C33" s="123" t="s">
        <v>412</v>
      </c>
      <c r="D33" s="122" t="n">
        <v>104.4</v>
      </c>
      <c r="E33" s="123" t="s">
        <v>412</v>
      </c>
      <c r="F33" s="122" t="n">
        <v>143.7</v>
      </c>
      <c r="G33" s="122" t="n">
        <v>104.8</v>
      </c>
      <c r="H33" s="122" t="n">
        <v>23.4</v>
      </c>
    </row>
    <row r="34" customFormat="false" ht="15" hidden="false" customHeight="true" outlineLevel="0" collapsed="false">
      <c r="A34" s="109" t="s">
        <v>415</v>
      </c>
      <c r="B34" s="122" t="n">
        <v>30.8</v>
      </c>
      <c r="C34" s="123" t="s">
        <v>412</v>
      </c>
      <c r="D34" s="122" t="n">
        <v>43.4</v>
      </c>
      <c r="E34" s="123" t="s">
        <v>412</v>
      </c>
      <c r="F34" s="122" t="n">
        <v>59.9</v>
      </c>
      <c r="G34" s="122" t="n">
        <v>44.1</v>
      </c>
      <c r="H34" s="122" t="n">
        <v>8.9</v>
      </c>
    </row>
    <row r="35" customFormat="false" ht="15" hidden="false" customHeight="true" outlineLevel="0" collapsed="false">
      <c r="A35" s="109" t="s">
        <v>416</v>
      </c>
      <c r="B35" s="122" t="n">
        <v>16</v>
      </c>
      <c r="C35" s="123" t="s">
        <v>412</v>
      </c>
      <c r="D35" s="122" t="n">
        <v>17</v>
      </c>
      <c r="E35" s="123" t="s">
        <v>412</v>
      </c>
      <c r="F35" s="122" t="n">
        <v>18</v>
      </c>
      <c r="G35" s="122" t="n">
        <v>17</v>
      </c>
      <c r="H35" s="122" t="n">
        <v>0.6</v>
      </c>
    </row>
    <row r="36" customFormat="false" ht="15" hidden="false" customHeight="true" outlineLevel="0" collapsed="false">
      <c r="A36" s="109" t="s">
        <v>417</v>
      </c>
      <c r="B36" s="122" t="n">
        <v>44.8</v>
      </c>
      <c r="C36" s="123" t="s">
        <v>412</v>
      </c>
      <c r="D36" s="122" t="n">
        <v>58.7</v>
      </c>
      <c r="E36" s="123" t="s">
        <v>412</v>
      </c>
      <c r="F36" s="122" t="n">
        <v>82.4</v>
      </c>
      <c r="G36" s="122" t="n">
        <v>60.5</v>
      </c>
      <c r="H36" s="122" t="n">
        <v>11.3</v>
      </c>
    </row>
    <row r="39" customFormat="false" ht="15" hidden="false" customHeight="true" outlineLevel="0" collapsed="false">
      <c r="A39" s="94" t="s">
        <v>418</v>
      </c>
      <c r="B39" s="94"/>
      <c r="C39" s="94"/>
      <c r="D39" s="94"/>
      <c r="E39" s="94"/>
      <c r="F39" s="94"/>
      <c r="G39" s="94"/>
      <c r="H39" s="94"/>
    </row>
    <row r="40" customFormat="false" ht="15" hidden="false" customHeight="true" outlineLevel="0" collapsed="false">
      <c r="A40" s="124" t="s">
        <v>419</v>
      </c>
      <c r="B40" s="124"/>
      <c r="C40" s="124"/>
      <c r="D40" s="124"/>
      <c r="E40" s="124"/>
      <c r="F40" s="124"/>
      <c r="G40" s="124"/>
      <c r="H40" s="124"/>
    </row>
    <row r="41" customFormat="false" ht="15" hidden="false" customHeight="true" outlineLevel="0" collapsed="false">
      <c r="A41" s="124" t="s">
        <v>420</v>
      </c>
      <c r="B41" s="124"/>
      <c r="C41" s="124"/>
      <c r="D41" s="124"/>
      <c r="E41" s="124"/>
      <c r="F41" s="124"/>
      <c r="G41" s="124"/>
      <c r="H41" s="124"/>
    </row>
    <row r="42" customFormat="false" ht="15" hidden="false" customHeight="true" outlineLevel="0" collapsed="false">
      <c r="A42" s="93" t="s">
        <v>421</v>
      </c>
      <c r="B42" s="93"/>
      <c r="C42" s="93"/>
      <c r="D42" s="93"/>
      <c r="E42" s="93"/>
      <c r="F42" s="93"/>
      <c r="G42" s="93"/>
      <c r="H42" s="93"/>
    </row>
    <row r="43" customFormat="false" ht="15" hidden="false" customHeight="true" outlineLevel="0" collapsed="false">
      <c r="A43" s="93" t="s">
        <v>422</v>
      </c>
      <c r="B43" s="93"/>
      <c r="C43" s="93"/>
      <c r="D43" s="93"/>
      <c r="E43" s="93"/>
      <c r="F43" s="93"/>
      <c r="G43" s="93"/>
      <c r="H43" s="93"/>
    </row>
  </sheetData>
  <mergeCells count="12">
    <mergeCell ref="A1:F1"/>
    <mergeCell ref="A2:H2"/>
    <mergeCell ref="A4:H4"/>
    <mergeCell ref="A15:H15"/>
    <mergeCell ref="A16:H16"/>
    <mergeCell ref="A25:H25"/>
    <mergeCell ref="A26:H26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B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17.35" hidden="false" customHeight="false" outlineLevel="0" collapsed="false">
      <c r="B1" s="125" t="s">
        <v>423</v>
      </c>
      <c r="C1" s="125"/>
    </row>
    <row r="2" customFormat="false" ht="15" hidden="false" customHeight="false" outlineLevel="0" collapsed="false">
      <c r="B2" s="126" t="s">
        <v>424</v>
      </c>
      <c r="C2" s="126"/>
    </row>
    <row r="4" customFormat="false" ht="15" hidden="false" customHeight="false" outlineLevel="0" collapsed="false">
      <c r="B4" s="127" t="s">
        <v>425</v>
      </c>
      <c r="C4" s="127"/>
    </row>
    <row r="5" customFormat="false" ht="30" hidden="false" customHeight="true" outlineLevel="0" collapsed="false">
      <c r="B5" s="128" t="s">
        <v>426</v>
      </c>
      <c r="C5" s="129" t="s">
        <v>427</v>
      </c>
    </row>
    <row r="6" customFormat="false" ht="30" hidden="false" customHeight="true" outlineLevel="0" collapsed="false">
      <c r="B6" s="128" t="s">
        <v>428</v>
      </c>
      <c r="C6" s="129" t="s">
        <v>429</v>
      </c>
    </row>
    <row r="7" customFormat="false" ht="45" hidden="false" customHeight="true" outlineLevel="0" collapsed="false">
      <c r="B7" s="128" t="s">
        <v>430</v>
      </c>
      <c r="C7" s="129" t="s">
        <v>431</v>
      </c>
    </row>
    <row r="8" customFormat="false" ht="30" hidden="false" customHeight="true" outlineLevel="0" collapsed="false">
      <c r="B8" s="128" t="s">
        <v>432</v>
      </c>
      <c r="C8" s="129" t="s">
        <v>433</v>
      </c>
    </row>
    <row r="9" customFormat="false" ht="45" hidden="false" customHeight="true" outlineLevel="0" collapsed="false">
      <c r="B9" s="128" t="s">
        <v>434</v>
      </c>
      <c r="C9" s="129" t="s">
        <v>435</v>
      </c>
    </row>
    <row r="11" customFormat="false" ht="15" hidden="false" customHeight="false" outlineLevel="0" collapsed="false">
      <c r="B11" s="127" t="s">
        <v>436</v>
      </c>
      <c r="C11" s="127"/>
    </row>
    <row r="12" customFormat="false" ht="45" hidden="false" customHeight="true" outlineLevel="0" collapsed="false">
      <c r="B12" s="128" t="s">
        <v>437</v>
      </c>
      <c r="C12" s="129" t="s">
        <v>438</v>
      </c>
    </row>
    <row r="13" customFormat="false" ht="45" hidden="false" customHeight="true" outlineLevel="0" collapsed="false">
      <c r="B13" s="128" t="s">
        <v>439</v>
      </c>
      <c r="C13" s="129" t="s">
        <v>440</v>
      </c>
    </row>
    <row r="14" customFormat="false" ht="45" hidden="false" customHeight="true" outlineLevel="0" collapsed="false">
      <c r="B14" s="128" t="s">
        <v>441</v>
      </c>
      <c r="C14" s="129" t="s">
        <v>442</v>
      </c>
    </row>
    <row r="15" customFormat="false" ht="45" hidden="false" customHeight="true" outlineLevel="0" collapsed="false">
      <c r="B15" s="128" t="s">
        <v>44</v>
      </c>
      <c r="C15" s="129" t="s">
        <v>443</v>
      </c>
    </row>
    <row r="17" customFormat="false" ht="15" hidden="false" customHeight="false" outlineLevel="0" collapsed="false">
      <c r="B17" s="127" t="s">
        <v>444</v>
      </c>
      <c r="C17" s="127"/>
    </row>
    <row r="18" customFormat="false" ht="45" hidden="false" customHeight="true" outlineLevel="0" collapsed="false">
      <c r="B18" s="128" t="s">
        <v>411</v>
      </c>
      <c r="C18" s="129" t="s">
        <v>445</v>
      </c>
    </row>
    <row r="19" customFormat="false" ht="45" hidden="false" customHeight="true" outlineLevel="0" collapsed="false">
      <c r="B19" s="128" t="s">
        <v>413</v>
      </c>
      <c r="C19" s="129" t="s">
        <v>446</v>
      </c>
    </row>
    <row r="20" customFormat="false" ht="45" hidden="false" customHeight="true" outlineLevel="0" collapsed="false">
      <c r="B20" s="128" t="s">
        <v>414</v>
      </c>
      <c r="C20" s="129" t="s">
        <v>447</v>
      </c>
    </row>
    <row r="21" customFormat="false" ht="45" hidden="false" customHeight="true" outlineLevel="0" collapsed="false">
      <c r="B21" s="128" t="s">
        <v>415</v>
      </c>
      <c r="C21" s="129" t="s">
        <v>448</v>
      </c>
    </row>
    <row r="22" customFormat="false" ht="45" hidden="false" customHeight="true" outlineLevel="0" collapsed="false">
      <c r="B22" s="128" t="s">
        <v>416</v>
      </c>
      <c r="C22" s="129" t="s">
        <v>449</v>
      </c>
    </row>
    <row r="23" customFormat="false" ht="45" hidden="false" customHeight="true" outlineLevel="0" collapsed="false">
      <c r="B23" s="128" t="s">
        <v>417</v>
      </c>
      <c r="C23" s="129" t="s">
        <v>450</v>
      </c>
    </row>
    <row r="25" customFormat="false" ht="15" hidden="false" customHeight="false" outlineLevel="0" collapsed="false">
      <c r="B25" s="127" t="s">
        <v>451</v>
      </c>
      <c r="C25" s="127"/>
    </row>
    <row r="26" customFormat="false" ht="45" hidden="false" customHeight="true" outlineLevel="0" collapsed="false">
      <c r="B26" s="128" t="s">
        <v>452</v>
      </c>
      <c r="C26" s="129" t="s">
        <v>453</v>
      </c>
    </row>
    <row r="27" customFormat="false" ht="45" hidden="false" customHeight="true" outlineLevel="0" collapsed="false">
      <c r="B27" s="128" t="s">
        <v>454</v>
      </c>
      <c r="C27" s="129" t="s">
        <v>455</v>
      </c>
    </row>
    <row r="28" customFormat="false" ht="45" hidden="false" customHeight="true" outlineLevel="0" collapsed="false">
      <c r="B28" s="128" t="s">
        <v>456</v>
      </c>
      <c r="C28" s="129" t="s">
        <v>457</v>
      </c>
    </row>
    <row r="29" customFormat="false" ht="45" hidden="false" customHeight="true" outlineLevel="0" collapsed="false">
      <c r="B29" s="128" t="s">
        <v>458</v>
      </c>
      <c r="C29" s="129" t="s">
        <v>459</v>
      </c>
    </row>
    <row r="30" customFormat="false" ht="45" hidden="false" customHeight="true" outlineLevel="0" collapsed="false">
      <c r="B30" s="128" t="s">
        <v>460</v>
      </c>
      <c r="C30" s="129" t="s">
        <v>461</v>
      </c>
    </row>
    <row r="32" customFormat="false" ht="15" hidden="false" customHeight="false" outlineLevel="0" collapsed="false">
      <c r="B32" s="127" t="s">
        <v>462</v>
      </c>
      <c r="C32" s="127"/>
    </row>
    <row r="33" customFormat="false" ht="45" hidden="false" customHeight="true" outlineLevel="0" collapsed="false">
      <c r="B33" s="128" t="s">
        <v>463</v>
      </c>
      <c r="C33" s="129" t="s">
        <v>464</v>
      </c>
    </row>
    <row r="34" customFormat="false" ht="45" hidden="false" customHeight="true" outlineLevel="0" collapsed="false">
      <c r="B34" s="128" t="s">
        <v>465</v>
      </c>
      <c r="C34" s="129" t="s">
        <v>466</v>
      </c>
    </row>
    <row r="36" customFormat="false" ht="15" hidden="false" customHeight="false" outlineLevel="0" collapsed="false">
      <c r="B36" s="127" t="s">
        <v>467</v>
      </c>
      <c r="C36" s="127"/>
    </row>
    <row r="37" customFormat="false" ht="45" hidden="false" customHeight="true" outlineLevel="0" collapsed="false">
      <c r="B37" s="128" t="s">
        <v>468</v>
      </c>
      <c r="C37" s="129" t="s">
        <v>469</v>
      </c>
    </row>
    <row r="38" customFormat="false" ht="45" hidden="false" customHeight="true" outlineLevel="0" collapsed="false">
      <c r="B38" s="128" t="s">
        <v>470</v>
      </c>
      <c r="C38" s="129" t="s">
        <v>471</v>
      </c>
    </row>
    <row r="39" customFormat="false" ht="45" hidden="false" customHeight="true" outlineLevel="0" collapsed="false">
      <c r="B39" s="128" t="s">
        <v>472</v>
      </c>
      <c r="C39" s="129" t="s">
        <v>473</v>
      </c>
    </row>
    <row r="40" customFormat="false" ht="45" hidden="false" customHeight="true" outlineLevel="0" collapsed="false">
      <c r="B40" s="128" t="s">
        <v>474</v>
      </c>
      <c r="C40" s="129" t="s">
        <v>475</v>
      </c>
    </row>
    <row r="42" customFormat="false" ht="15" hidden="false" customHeight="false" outlineLevel="0" collapsed="false">
      <c r="B42" s="127" t="s">
        <v>476</v>
      </c>
      <c r="C42" s="127"/>
    </row>
    <row r="43" customFormat="false" ht="45" hidden="false" customHeight="true" outlineLevel="0" collapsed="false">
      <c r="B43" s="128" t="s">
        <v>477</v>
      </c>
      <c r="C43" s="129" t="s">
        <v>478</v>
      </c>
    </row>
    <row r="44" customFormat="false" ht="30" hidden="false" customHeight="true" outlineLevel="0" collapsed="false">
      <c r="B44" s="128" t="s">
        <v>479</v>
      </c>
      <c r="C44" s="129" t="s">
        <v>480</v>
      </c>
    </row>
    <row r="45" customFormat="false" ht="45" hidden="false" customHeight="true" outlineLevel="0" collapsed="false">
      <c r="B45" s="128" t="s">
        <v>481</v>
      </c>
      <c r="C45" s="129" t="s">
        <v>482</v>
      </c>
    </row>
    <row r="46" customFormat="false" ht="45" hidden="false" customHeight="true" outlineLevel="0" collapsed="false">
      <c r="B46" s="128" t="s">
        <v>483</v>
      </c>
      <c r="C46" s="129" t="s">
        <v>484</v>
      </c>
    </row>
  </sheetData>
  <mergeCells count="9">
    <mergeCell ref="B1:C1"/>
    <mergeCell ref="B2:C2"/>
    <mergeCell ref="B4:C4"/>
    <mergeCell ref="B11:C11"/>
    <mergeCell ref="B17:C17"/>
    <mergeCell ref="B25:C25"/>
    <mergeCell ref="B32:C32"/>
    <mergeCell ref="B36:C36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18"/>
  </cols>
  <sheetData>
    <row r="1" customFormat="false" ht="17.35" hidden="false" customHeight="false" outlineLevel="0" collapsed="false">
      <c r="B1" s="125" t="s">
        <v>485</v>
      </c>
      <c r="C1" s="125"/>
      <c r="D1" s="125"/>
      <c r="E1" s="125"/>
    </row>
    <row r="2" customFormat="false" ht="15" hidden="false" customHeight="false" outlineLevel="0" collapsed="false">
      <c r="B2" s="126" t="s">
        <v>486</v>
      </c>
      <c r="C2" s="126"/>
      <c r="D2" s="126"/>
      <c r="E2" s="126"/>
    </row>
    <row r="4" customFormat="false" ht="15" hidden="false" customHeight="false" outlineLevel="0" collapsed="false">
      <c r="A4" s="114"/>
      <c r="B4" s="114" t="s">
        <v>487</v>
      </c>
      <c r="C4" s="114" t="s">
        <v>488</v>
      </c>
      <c r="D4" s="114" t="s">
        <v>489</v>
      </c>
      <c r="E4" s="114" t="s">
        <v>490</v>
      </c>
    </row>
    <row r="5" customFormat="false" ht="30" hidden="false" customHeight="true" outlineLevel="0" collapsed="false">
      <c r="B5" s="130" t="s">
        <v>491</v>
      </c>
      <c r="C5" s="131" t="s">
        <v>492</v>
      </c>
      <c r="D5" s="132" t="s">
        <v>493</v>
      </c>
      <c r="E5" s="133" t="s">
        <v>494</v>
      </c>
    </row>
    <row r="6" customFormat="false" ht="30" hidden="false" customHeight="true" outlineLevel="0" collapsed="false">
      <c r="B6" s="130" t="s">
        <v>495</v>
      </c>
      <c r="C6" s="131" t="s">
        <v>496</v>
      </c>
      <c r="D6" s="132" t="s">
        <v>497</v>
      </c>
      <c r="E6" s="133" t="s">
        <v>494</v>
      </c>
    </row>
    <row r="7" customFormat="false" ht="30" hidden="false" customHeight="true" outlineLevel="0" collapsed="false">
      <c r="B7" s="130" t="s">
        <v>498</v>
      </c>
      <c r="C7" s="131" t="s">
        <v>499</v>
      </c>
      <c r="D7" s="132" t="s">
        <v>500</v>
      </c>
      <c r="E7" s="133" t="s">
        <v>494</v>
      </c>
    </row>
    <row r="8" customFormat="false" ht="30" hidden="false" customHeight="true" outlineLevel="0" collapsed="false">
      <c r="B8" s="130" t="s">
        <v>501</v>
      </c>
      <c r="C8" s="131" t="s">
        <v>502</v>
      </c>
      <c r="D8" s="132" t="s">
        <v>503</v>
      </c>
      <c r="E8" s="133" t="s">
        <v>494</v>
      </c>
    </row>
    <row r="9" customFormat="false" ht="30" hidden="false" customHeight="true" outlineLevel="0" collapsed="false">
      <c r="B9" s="130" t="s">
        <v>504</v>
      </c>
      <c r="C9" s="131" t="s">
        <v>505</v>
      </c>
      <c r="D9" s="132" t="s">
        <v>506</v>
      </c>
      <c r="E9" s="133" t="s">
        <v>494</v>
      </c>
    </row>
    <row r="10" customFormat="false" ht="30" hidden="false" customHeight="true" outlineLevel="0" collapsed="false">
      <c r="B10" s="130" t="s">
        <v>507</v>
      </c>
      <c r="C10" s="131" t="s">
        <v>508</v>
      </c>
      <c r="D10" s="132" t="s">
        <v>509</v>
      </c>
      <c r="E10" s="133" t="s">
        <v>494</v>
      </c>
    </row>
    <row r="11" customFormat="false" ht="15" hidden="false" customHeight="false" outlineLevel="0" collapsed="false">
      <c r="B11" s="130" t="s">
        <v>510</v>
      </c>
      <c r="C11" s="131" t="s">
        <v>511</v>
      </c>
      <c r="D11" s="132" t="s">
        <v>512</v>
      </c>
      <c r="E11" s="133" t="s">
        <v>494</v>
      </c>
    </row>
    <row r="12" customFormat="false" ht="30" hidden="false" customHeight="true" outlineLevel="0" collapsed="false">
      <c r="B12" s="130" t="s">
        <v>513</v>
      </c>
      <c r="C12" s="131" t="s">
        <v>514</v>
      </c>
      <c r="D12" s="132" t="s">
        <v>515</v>
      </c>
      <c r="E12" s="133" t="s">
        <v>494</v>
      </c>
    </row>
    <row r="13" customFormat="false" ht="30" hidden="false" customHeight="true" outlineLevel="0" collapsed="false">
      <c r="B13" s="130" t="s">
        <v>516</v>
      </c>
      <c r="C13" s="131" t="s">
        <v>517</v>
      </c>
      <c r="D13" s="132" t="s">
        <v>518</v>
      </c>
      <c r="E13" s="133" t="s">
        <v>494</v>
      </c>
    </row>
    <row r="14" customFormat="false" ht="30" hidden="false" customHeight="true" outlineLevel="0" collapsed="false">
      <c r="B14" s="130" t="s">
        <v>519</v>
      </c>
      <c r="C14" s="131" t="s">
        <v>520</v>
      </c>
      <c r="D14" s="132" t="s">
        <v>521</v>
      </c>
      <c r="E14" s="133" t="s">
        <v>494</v>
      </c>
    </row>
    <row r="15" customFormat="false" ht="30" hidden="false" customHeight="true" outlineLevel="0" collapsed="false">
      <c r="B15" s="130" t="s">
        <v>522</v>
      </c>
      <c r="C15" s="131" t="s">
        <v>523</v>
      </c>
      <c r="D15" s="132" t="s">
        <v>524</v>
      </c>
      <c r="E15" s="133" t="s">
        <v>494</v>
      </c>
    </row>
    <row r="16" customFormat="false" ht="30" hidden="false" customHeight="true" outlineLevel="0" collapsed="false">
      <c r="B16" s="130" t="s">
        <v>525</v>
      </c>
      <c r="C16" s="131" t="s">
        <v>526</v>
      </c>
      <c r="D16" s="132" t="s">
        <v>527</v>
      </c>
      <c r="E16" s="133" t="s">
        <v>494</v>
      </c>
    </row>
    <row r="17" customFormat="false" ht="15" hidden="false" customHeight="false" outlineLevel="0" collapsed="false">
      <c r="B17" s="130" t="s">
        <v>528</v>
      </c>
      <c r="C17" s="131" t="s">
        <v>529</v>
      </c>
      <c r="D17" s="132" t="s">
        <v>530</v>
      </c>
      <c r="E17" s="133" t="s">
        <v>494</v>
      </c>
    </row>
    <row r="18" customFormat="false" ht="30" hidden="false" customHeight="true" outlineLevel="0" collapsed="false">
      <c r="B18" s="130" t="s">
        <v>531</v>
      </c>
      <c r="C18" s="131" t="s">
        <v>532</v>
      </c>
      <c r="D18" s="132" t="s">
        <v>533</v>
      </c>
      <c r="E18" s="133" t="s">
        <v>494</v>
      </c>
    </row>
    <row r="19" customFormat="false" ht="15" hidden="false" customHeight="false" outlineLevel="0" collapsed="false">
      <c r="B19" s="130" t="s">
        <v>534</v>
      </c>
      <c r="C19" s="131" t="s">
        <v>535</v>
      </c>
      <c r="D19" s="132" t="s">
        <v>536</v>
      </c>
      <c r="E19" s="133" t="s">
        <v>494</v>
      </c>
    </row>
    <row r="20" customFormat="false" ht="15" hidden="false" customHeight="false" outlineLevel="0" collapsed="false">
      <c r="B20" s="130" t="s">
        <v>537</v>
      </c>
      <c r="C20" s="131" t="s">
        <v>538</v>
      </c>
      <c r="D20" s="132" t="s">
        <v>539</v>
      </c>
      <c r="E20" s="133" t="s">
        <v>494</v>
      </c>
    </row>
    <row r="21" customFormat="false" ht="30" hidden="false" customHeight="true" outlineLevel="0" collapsed="false">
      <c r="B21" s="130" t="s">
        <v>540</v>
      </c>
      <c r="C21" s="131" t="s">
        <v>541</v>
      </c>
      <c r="D21" s="132" t="s">
        <v>542</v>
      </c>
      <c r="E21" s="133" t="s">
        <v>494</v>
      </c>
    </row>
    <row r="22" customFormat="false" ht="15" hidden="false" customHeight="false" outlineLevel="0" collapsed="false">
      <c r="B22" s="130" t="s">
        <v>543</v>
      </c>
      <c r="C22" s="131" t="s">
        <v>544</v>
      </c>
      <c r="D22" s="132" t="s">
        <v>545</v>
      </c>
      <c r="E22" s="133" t="s">
        <v>494</v>
      </c>
    </row>
    <row r="23" customFormat="false" ht="30" hidden="false" customHeight="true" outlineLevel="0" collapsed="false">
      <c r="B23" s="130" t="s">
        <v>546</v>
      </c>
      <c r="C23" s="131" t="s">
        <v>547</v>
      </c>
      <c r="D23" s="132" t="s">
        <v>548</v>
      </c>
      <c r="E23" s="133" t="s">
        <v>494</v>
      </c>
    </row>
    <row r="24" customFormat="false" ht="15" hidden="false" customHeight="false" outlineLevel="0" collapsed="false">
      <c r="B24" s="130" t="s">
        <v>549</v>
      </c>
      <c r="C24" s="131" t="s">
        <v>550</v>
      </c>
      <c r="D24" s="132" t="s">
        <v>551</v>
      </c>
      <c r="E24" s="133" t="s">
        <v>494</v>
      </c>
    </row>
    <row r="26" customFormat="false" ht="15" hidden="false" customHeight="false" outlineLevel="0" collapsed="false">
      <c r="B26" s="126" t="s">
        <v>552</v>
      </c>
      <c r="C26" s="126"/>
      <c r="D26" s="126"/>
      <c r="E26" s="126"/>
    </row>
    <row r="27" customFormat="false" ht="15" hidden="false" customHeight="false" outlineLevel="0" collapsed="false">
      <c r="B27" s="134" t="s">
        <v>553</v>
      </c>
    </row>
  </sheetData>
  <mergeCells count="3">
    <mergeCell ref="B1:E1"/>
    <mergeCell ref="B2:E2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2026-04-26T20:52:19Z</dcterms:created>
  <dc:creator>openpyxl</dc:creator>
  <dc:description/>
  <dc:language>en-US</dc:language>
  <cp:lastModifiedBy/>
  <dcterms:modified xsi:type="dcterms:W3CDTF">2026-04-26T21:23:39Z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